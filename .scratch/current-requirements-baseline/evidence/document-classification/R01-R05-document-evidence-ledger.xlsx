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7583e1b41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5ebfd29be24052"/>
    <x:sheet xmlns:r="http://schemas.openxmlformats.org/officeDocument/2006/relationships" name="Ledger" sheetId="2" r:id="R023e107f7f47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6">
    <x:font>
      <x:sz val="11"/>
      <x:name val="Carlito"/>
    </x:font>
    <x:font>
      <x:b/>
      <x:sz val="11"/>
      <x:color rgb="FFFFFFFF"/>
      <x:name val="Carlito"/>
    </x:font>
    <x:font>
      <x:sz val="9"/>
      <x:color rgb="FF374151"/>
      <x:name val="Consolas"/>
    </x:font>
    <x:font>
      <x:b/>
      <x:sz val="11"/>
      <x:color rgb="FF9A3412"/>
      <x:name val="Carlito"/>
    </x:font>
    <x:font>
      <x:b/>
      <x:sz val="18"/>
      <x:color rgb="FFFFFFFF"/>
      <x:name val="Carlito"/>
    </x:font>
    <x:font>
      <x:b/>
      <x:sz val="11"/>
      <x:color rgb="FF334155"/>
      <x:name val="Carlito"/>
    </x:font>
    <x:font>
      <x:b/>
      <x:sz val="18"/>
      <x:color rgb="FF0F172A"/>
      <x:name val="Carlito"/>
    </x:font>
    <x:font>
      <x:sz val="11"/>
      <x:color rgb="FF7C2D12"/>
      <x:name val="Carlito"/>
    </x:font>
    <x:font>
      <x:b/>
      <x:sz val="11"/>
      <x:color rgb="FF0F4C5C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334155"/>
      <x:name val="Aptos"/>
    </x:font>
    <x:font>
      <x:b/>
      <x:sz val="18"/>
      <x:color rgb="FF0F172A"/>
      <x:name val="Aptos"/>
    </x:font>
    <x:font>
      <x:b/>
      <x:sz val="11"/>
      <x:color rgb="FFFFFFFF"/>
      <x:name val="Aptos"/>
    </x:font>
    <x:font>
      <x:sz val="11"/>
      <x:color rgb="FF7C2D12"/>
      <x:name val="Aptos"/>
    </x:font>
    <x:font>
      <x:b/>
      <x:sz val="11"/>
      <x:color rgb="FF0F4C5C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DCE7EA"/>
      </x:patternFill>
    </x:fill>
  </x:fills>
  <x:borders count="31">
    <x:border/>
    <x:border>
      <x:left style="medium">
        <x:color rgb="FF0B3540"/>
      </x:left>
      <x:top style="medium">
        <x:color rgb="FF0B3540"/>
      </x:top>
      <x:bottom style="medium">
        <x:color rgb="FF0B3540"/>
      </x:bottom>
    </x:border>
    <x:border>
      <x:top style="medium">
        <x:color rgb="FF0B3540"/>
      </x:top>
      <x:bottom style="medium">
        <x:color rgb="FF0B3540"/>
      </x:bottom>
    </x:border>
    <x:border>
      <x:right style="medium">
        <x:color rgb="FF0B3540"/>
      </x:right>
      <x:top style="medium">
        <x:color rgb="FF0B3540"/>
      </x:top>
      <x:bottom style="medium">
        <x:color rgb="FF0B3540"/>
      </x:bottom>
    </x:border>
    <x:border>
      <x:right style="thin">
        <x:color rgb="FFD8E2E6"/>
      </x:right>
      <x:bottom style="thin">
        <x:color rgb="FFD8E2E6"/>
      </x:bottom>
    </x:border>
    <x:border>
      <x:left style="thin">
        <x:color rgb="FFD8E2E6"/>
      </x:left>
      <x:right style="thin">
        <x:color rgb="FFD8E2E6"/>
      </x:right>
      <x:bottom style="thin">
        <x:color rgb="FFD8E2E6"/>
      </x:bottom>
    </x:border>
    <x:border>
      <x:left style="thin">
        <x:color rgb="FFD8E2E6"/>
      </x:left>
      <x:bottom style="thin">
        <x:color rgb="FFD8E2E6"/>
      </x:bottom>
    </x:border>
    <x:border>
      <x:right style="thin">
        <x:color rgb="FFD8E2E6"/>
      </x:right>
      <x:top style="thin">
        <x:color rgb="FFD8E2E6"/>
      </x:top>
      <x:bottom style="thin">
        <x:color rgb="FFD8E2E6"/>
      </x:bottom>
    </x:border>
    <x:border>
      <x:left style="thin">
        <x:color rgb="FFD8E2E6"/>
      </x:left>
      <x:right style="thin">
        <x:color rgb="FFD8E2E6"/>
      </x:right>
      <x:top style="thin">
        <x:color rgb="FFD8E2E6"/>
      </x:top>
      <x:bottom style="thin">
        <x:color rgb="FFD8E2E6"/>
      </x:bottom>
    </x:border>
    <x:border>
      <x:left style="thin">
        <x:color rgb="FFD8E2E6"/>
      </x:left>
      <x:top style="thin">
        <x:color rgb="FFD8E2E6"/>
      </x:top>
      <x:bottom style="thin">
        <x:color rgb="FFD8E2E6"/>
      </x:bottom>
    </x:border>
    <x:border>
      <x:right style="thin">
        <x:color rgb="FFD8E2E6"/>
      </x:right>
      <x:top style="thin">
        <x:color rgb="FFD8E2E6"/>
      </x:top>
    </x:border>
    <x:border>
      <x:left style="thin">
        <x:color rgb="FFD8E2E6"/>
      </x:left>
      <x:right style="thin">
        <x:color rgb="FFD8E2E6"/>
      </x:right>
      <x:top style="thin">
        <x:color rgb="FFD8E2E6"/>
      </x:top>
    </x:border>
    <x:border>
      <x:left style="thin">
        <x:color rgb="FFD8E2E6"/>
      </x:left>
      <x:top style="thin">
        <x:color rgb="FFD8E2E6"/>
      </x:top>
    </x:border>
    <x:border>
      <x:left style="medium">
        <x:color rgb="FF94A3B8"/>
      </x:left>
      <x:top style="medium">
        <x:color rgb="FF94A3B8"/>
      </x:top>
    </x:border>
    <x:border>
      <x:right style="medium">
        <x:color rgb="FF94A3B8"/>
      </x:right>
      <x:top style="medium">
        <x:color rgb="FF94A3B8"/>
      </x:top>
    </x:border>
    <x:border>
      <x:left style="medium">
        <x:color rgb="FF94A3B8"/>
      </x:left>
      <x:bottom style="medium">
        <x:color rgb="FF94A3B8"/>
      </x:bottom>
    </x:border>
    <x:border>
      <x:right style="medium">
        <x:color rgb="FF94A3B8"/>
      </x:right>
      <x:bottom style="medium">
        <x:color rgb="FF94A3B8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medium">
        <x:color rgb="FFFDBA74"/>
      </x:left>
      <x:top style="medium">
        <x:color rgb="FFFDBA74"/>
      </x:top>
    </x:border>
    <x:border>
      <x:top style="medium">
        <x:color rgb="FFFDBA74"/>
      </x:top>
    </x:border>
    <x:border>
      <x:right style="medium">
        <x:color rgb="FFFDBA74"/>
      </x:right>
      <x:top style="medium">
        <x:color rgb="FFFDBA74"/>
      </x:top>
    </x:border>
    <x:border>
      <x:left style="medium">
        <x:color rgb="FFFDBA74"/>
      </x:left>
    </x:border>
    <x:border>
      <x:right style="medium">
        <x:color rgb="FFFDBA74"/>
      </x:right>
    </x:border>
    <x:border>
      <x:left style="medium">
        <x:color rgb="FFFDBA74"/>
      </x:left>
      <x:bottom style="medium">
        <x:color rgb="FFFDBA74"/>
      </x:bottom>
    </x:border>
    <x:border>
      <x:bottom style="medium">
        <x:color rgb="FFFDBA74"/>
      </x:bottom>
    </x:border>
    <x:border>
      <x:right style="medium">
        <x:color rgb="FFFDBA74"/>
      </x:right>
      <x:bottom style="medium">
        <x:color rgb="FFFDBA74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3" borderId="0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16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6" fillId="4" borderId="15" xfId="0" applyNumberFormat="1" applyFont="1" applyFill="1" applyBorder="1"/>
    <x:xf numFmtId="0" fontId="6" fillId="4" borderId="16" xfId="0" applyNumberFormat="1" applyFont="1" applyFill="1" applyBorder="1"/>
    <x:xf numFmtId="0" fontId="6" fillId="3" borderId="15" xfId="0" applyNumberFormat="1" applyFont="1" applyFill="1" applyBorder="1"/>
    <x:xf numFmtId="0" fontId="6" fillId="3" borderId="16" xfId="0" applyNumberFormat="1" applyFont="1" applyFill="1" applyBorder="1"/>
    <x:xf numFmtId="0" fontId="5" fillId="4" borderId="13" xfId="0" applyNumberFormat="1" applyFont="1" applyFill="1" applyBorder="1" applyAlignment="1">
      <x:alignment horizontal="center"/>
    </x:xf>
    <x:xf numFmtId="0" fontId="5" fillId="4" borderId="14" xfId="0" applyNumberFormat="1" applyFont="1" applyFill="1" applyBorder="1" applyAlignment="1">
      <x:alignment horizontal="center"/>
    </x:xf>
    <x:xf numFmtId="0" fontId="5" fillId="3" borderId="13" xfId="0" applyNumberFormat="1" applyFont="1" applyFill="1" applyBorder="1" applyAlignment="1">
      <x:alignment horizontal="center"/>
    </x:xf>
    <x:xf numFmtId="0" fontId="5" fillId="3" borderId="14" xfId="0" applyNumberFormat="1" applyFont="1" applyFill="1" applyBorder="1" applyAlignment="1">
      <x:alignment horizontal="center"/>
    </x:xf>
    <x:xf numFmtId="0" fontId="6" fillId="4" borderId="15" xfId="0" applyNumberFormat="1" applyFont="1" applyFill="1" applyBorder="1" applyAlignment="1">
      <x:alignment horizontal="center"/>
    </x:xf>
    <x:xf numFmtId="0" fontId="6" fillId="4" borderId="16" xfId="0" applyNumberFormat="1" applyFont="1" applyFill="1" applyBorder="1" applyAlignment="1">
      <x:alignment horizontal="center"/>
    </x:xf>
    <x:xf numFmtId="0" fontId="6" fillId="3" borderId="15" xfId="0" applyNumberFormat="1" applyFont="1" applyFill="1" applyBorder="1" applyAlignment="1">
      <x:alignment horizontal="center"/>
    </x:xf>
    <x:xf numFmtId="0" fontId="6" fillId="3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2" borderId="17" xfId="0" applyNumberFormat="1" applyFont="1" applyFill="1" applyBorder="1"/>
    <x:xf numFmtId="0" fontId="0" fillId="2" borderId="18" xfId="0" applyNumberFormat="1" applyFont="1" applyFill="1" applyBorder="1"/>
    <x:xf numFmtId="0" fontId="1" fillId="2" borderId="17" xfId="0" applyNumberFormat="1" applyFont="1" applyFill="1" applyBorder="1"/>
    <x:xf numFmtId="0" fontId="1" fillId="2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7" fillId="3" borderId="0" xfId="0" applyNumberFormat="1" applyFont="1" applyFill="1" applyBorder="1"/>
    <x:xf numFmtId="0" fontId="7" fillId="3" borderId="23" xfId="0" applyNumberFormat="1" applyFont="1" applyFill="1" applyBorder="1"/>
    <x:xf numFmtId="0" fontId="7" fillId="3" borderId="24" xfId="0" applyNumberFormat="1" applyFont="1" applyFill="1" applyBorder="1"/>
    <x:xf numFmtId="0" fontId="7" fillId="3" borderId="25" xfId="0" applyNumberFormat="1" applyFont="1" applyFill="1" applyBorder="1"/>
    <x:xf numFmtId="0" fontId="7" fillId="3" borderId="26" xfId="0" applyNumberFormat="1" applyFont="1" applyFill="1" applyBorder="1"/>
    <x:xf numFmtId="0" fontId="7" fillId="3" borderId="27" xfId="0" applyNumberFormat="1" applyFont="1" applyFill="1" applyBorder="1"/>
    <x:xf numFmtId="0" fontId="7" fillId="3" borderId="28" xfId="0" applyNumberFormat="1" applyFont="1" applyFill="1" applyBorder="1"/>
    <x:xf numFmtId="0" fontId="7" fillId="3" borderId="29" xfId="0" applyNumberFormat="1" applyFont="1" applyFill="1" applyBorder="1"/>
    <x:xf numFmtId="0" fontId="7" fillId="3" borderId="30" xfId="0" applyNumberFormat="1" applyFont="1" applyFill="1" applyBorder="1"/>
    <x:xf numFmtId="0" fontId="7" fillId="3" borderId="23" xfId="0" applyNumberFormat="1" applyFont="1" applyFill="1" applyBorder="1" applyAlignment="1">
      <x:alignment wrapText="1"/>
    </x:xf>
    <x:xf numFmtId="0" fontId="7" fillId="3" borderId="24" xfId="0" applyNumberFormat="1" applyFont="1" applyFill="1" applyBorder="1" applyAlignment="1">
      <x:alignment wrapText="1"/>
    </x:xf>
    <x:xf numFmtId="0" fontId="7" fillId="3" borderId="25" xfId="0" applyNumberFormat="1" applyFont="1" applyFill="1" applyBorder="1" applyAlignment="1">
      <x:alignment wrapText="1"/>
    </x:xf>
    <x:xf numFmtId="0" fontId="7" fillId="3" borderId="26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27" xfId="0" applyNumberFormat="1" applyFont="1" applyFill="1" applyBorder="1" applyAlignment="1">
      <x:alignment wrapText="1"/>
    </x:xf>
    <x:xf numFmtId="0" fontId="7" fillId="3" borderId="28" xfId="0" applyNumberFormat="1" applyFont="1" applyFill="1" applyBorder="1" applyAlignment="1">
      <x:alignment wrapText="1"/>
    </x:xf>
    <x:xf numFmtId="0" fontId="7" fillId="3" borderId="29" xfId="0" applyNumberFormat="1" applyFont="1" applyFill="1" applyBorder="1" applyAlignment="1">
      <x:alignment wrapText="1"/>
    </x:xf>
    <x:xf numFmtId="0" fontId="7" fillId="3" borderId="30" xfId="0" applyNumberFormat="1" applyFont="1" applyFill="1" applyBorder="1" applyAlignment="1">
      <x:alignment wrapText="1"/>
    </x:xf>
    <x:xf numFmtId="0" fontId="7" fillId="3" borderId="23" xfId="0" applyNumberFormat="1" applyFont="1" applyFill="1" applyBorder="1" applyAlignment="1">
      <x:alignment vertical="top" wrapText="1"/>
    </x:xf>
    <x:xf numFmtId="0" fontId="7" fillId="3" borderId="24" xfId="0" applyNumberFormat="1" applyFont="1" applyFill="1" applyBorder="1" applyAlignment="1">
      <x:alignment vertical="top" wrapText="1"/>
    </x:xf>
    <x:xf numFmtId="0" fontId="7" fillId="3" borderId="25" xfId="0" applyNumberFormat="1" applyFont="1" applyFill="1" applyBorder="1" applyAlignment="1">
      <x:alignment vertical="top" wrapText="1"/>
    </x:xf>
    <x:xf numFmtId="0" fontId="7" fillId="3" borderId="26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27" xfId="0" applyNumberFormat="1" applyFont="1" applyFill="1" applyBorder="1" applyAlignment="1">
      <x:alignment vertical="top" wrapText="1"/>
    </x:xf>
    <x:xf numFmtId="0" fontId="7" fillId="3" borderId="28" xfId="0" applyNumberFormat="1" applyFont="1" applyFill="1" applyBorder="1" applyAlignment="1">
      <x:alignment vertical="top" wrapText="1"/>
    </x:xf>
    <x:xf numFmtId="0" fontId="7" fillId="3" borderId="29" xfId="0" applyNumberFormat="1" applyFont="1" applyFill="1" applyBorder="1" applyAlignment="1">
      <x:alignment vertical="top" wrapText="1"/>
    </x:xf>
    <x:xf numFmtId="0" fontId="7" fillId="3" borderId="3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1" fillId="4" borderId="13" xfId="0" applyNumberFormat="1" applyFont="1" applyFill="1" applyBorder="1" applyAlignment="1">
      <x:alignment horizontal="center"/>
    </x:xf>
    <x:xf numFmtId="0" fontId="11" fillId="4" borderId="14" xfId="0" applyNumberFormat="1" applyFont="1" applyFill="1" applyBorder="1" applyAlignment="1">
      <x:alignment horizontal="center"/>
    </x:xf>
    <x:xf numFmtId="0" fontId="11" fillId="3" borderId="13" xfId="0" applyNumberFormat="1" applyFont="1" applyFill="1" applyBorder="1" applyAlignment="1">
      <x:alignment horizontal="center"/>
    </x:xf>
    <x:xf numFmtId="0" fontId="11" fillId="3" borderId="14" xfId="0" applyNumberFormat="1" applyFont="1" applyFill="1" applyBorder="1" applyAlignment="1">
      <x:alignment horizontal="center"/>
    </x:xf>
    <x:xf numFmtId="0" fontId="12" fillId="4" borderId="15" xfId="0" applyNumberFormat="1" applyFont="1" applyFill="1" applyBorder="1" applyAlignment="1">
      <x:alignment horizontal="center"/>
    </x:xf>
    <x:xf numFmtId="0" fontId="12" fillId="4" borderId="16" xfId="0" applyNumberFormat="1" applyFont="1" applyFill="1" applyBorder="1" applyAlignment="1">
      <x:alignment horizontal="center"/>
    </x:xf>
    <x:xf numFmtId="0" fontId="12" fillId="3" borderId="15" xfId="0" applyNumberFormat="1" applyFont="1" applyFill="1" applyBorder="1" applyAlignment="1">
      <x:alignment horizontal="center"/>
    </x:xf>
    <x:xf numFmtId="0" fontId="12" fillId="3" borderId="16" xfId="0" applyNumberFormat="1" applyFont="1" applyFill="1" applyBorder="1" applyAlignment="1">
      <x:alignment horizontal="center"/>
    </x:xf>
    <x:xf numFmtId="0" fontId="13" fillId="2" borderId="17" xfId="0" applyNumberFormat="1" applyFont="1" applyFill="1" applyBorder="1"/>
    <x:xf numFmtId="0" fontId="13" fillId="2" borderId="18" xfId="0" applyNumberFormat="1" applyFont="1" applyFill="1" applyBorder="1"/>
    <x:xf numFmtId="0" fontId="13" fillId="2" borderId="0" xfId="0" applyNumberFormat="1" applyFont="1" applyFill="1" applyBorder="1"/>
    <x:xf numFmtId="0" fontId="10" fillId="5" borderId="19" xfId="0" applyNumberFormat="1" applyFont="1" applyFill="1" applyBorder="1"/>
    <x:xf numFmtId="0" fontId="10" fillId="5" borderId="20" xfId="0" applyNumberFormat="1" applyFont="1" applyFill="1" applyBorder="1"/>
    <x:xf numFmtId="0" fontId="14" fillId="3" borderId="23" xfId="0" applyNumberFormat="1" applyFont="1" applyFill="1" applyBorder="1" applyAlignment="1">
      <x:alignment vertical="top" wrapText="1"/>
    </x:xf>
    <x:xf numFmtId="0" fontId="14" fillId="3" borderId="24" xfId="0" applyNumberFormat="1" applyFont="1" applyFill="1" applyBorder="1" applyAlignment="1">
      <x:alignment vertical="top" wrapText="1"/>
    </x:xf>
    <x:xf numFmtId="0" fontId="14" fillId="3" borderId="25" xfId="0" applyNumberFormat="1" applyFont="1" applyFill="1" applyBorder="1" applyAlignment="1">
      <x:alignment vertical="top" wrapText="1"/>
    </x:xf>
    <x:xf numFmtId="0" fontId="14" fillId="3" borderId="26" xfId="0" applyNumberFormat="1" applyFont="1" applyFill="1" applyBorder="1" applyAlignment="1">
      <x:alignment vertical="top" wrapText="1"/>
    </x:xf>
    <x:xf numFmtId="0" fontId="14" fillId="3" borderId="0" xfId="0" applyNumberFormat="1" applyFont="1" applyFill="1" applyBorder="1" applyAlignment="1">
      <x:alignment vertical="top" wrapText="1"/>
    </x:xf>
    <x:xf numFmtId="0" fontId="14" fillId="3" borderId="27" xfId="0" applyNumberFormat="1" applyFont="1" applyFill="1" applyBorder="1" applyAlignment="1">
      <x:alignment vertical="top" wrapText="1"/>
    </x:xf>
    <x:xf numFmtId="0" fontId="10" fillId="5" borderId="21" xfId="0" applyNumberFormat="1" applyFont="1" applyFill="1" applyBorder="1"/>
    <x:xf numFmtId="0" fontId="10" fillId="5" borderId="22" xfId="0" applyNumberFormat="1" applyFont="1" applyFill="1" applyBorder="1"/>
    <x:xf numFmtId="0" fontId="14" fillId="3" borderId="28" xfId="0" applyNumberFormat="1" applyFont="1" applyFill="1" applyBorder="1" applyAlignment="1">
      <x:alignment vertical="top" wrapText="1"/>
    </x:xf>
    <x:xf numFmtId="0" fontId="14" fillId="3" borderId="29" xfId="0" applyNumberFormat="1" applyFont="1" applyFill="1" applyBorder="1" applyAlignment="1">
      <x:alignment vertical="top" wrapText="1"/>
    </x:xf>
    <x:xf numFmtId="0" fontId="14" fillId="3" borderId="30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/>
    </x:xf>
    <x:xf numFmtId="0" fontId="11" fillId="4" borderId="13" xfId="0" applyNumberFormat="1" applyFont="1" applyFill="1" applyBorder="1" applyAlignment="1">
      <x:alignment horizontal="center" vertical="center"/>
    </x:xf>
    <x:xf numFmtId="0" fontId="11" fillId="4" borderId="14" xfId="0" applyNumberFormat="1" applyFont="1" applyFill="1" applyBorder="1" applyAlignment="1">
      <x:alignment horizontal="center" vertical="center"/>
    </x:xf>
    <x:xf numFmtId="0" fontId="11" fillId="3" borderId="13" xfId="0" applyNumberFormat="1" applyFont="1" applyFill="1" applyBorder="1" applyAlignment="1">
      <x:alignment horizontal="center" vertical="center"/>
    </x:xf>
    <x:xf numFmtId="0" fontId="11" fillId="3" borderId="14" xfId="0" applyNumberFormat="1" applyFont="1" applyFill="1" applyBorder="1" applyAlignment="1">
      <x:alignment horizontal="center" vertical="center"/>
    </x:xf>
    <x:xf numFmtId="0" fontId="12" fillId="4" borderId="15" xfId="0" applyNumberFormat="1" applyFont="1" applyFill="1" applyBorder="1" applyAlignment="1">
      <x:alignment horizontal="center" vertical="center"/>
    </x:xf>
    <x:xf numFmtId="0" fontId="12" fillId="4" borderId="16" xfId="0" applyNumberFormat="1" applyFont="1" applyFill="1" applyBorder="1" applyAlignment="1">
      <x:alignment horizontal="center" vertical="center"/>
    </x:xf>
    <x:xf numFmtId="0" fontId="12" fillId="3" borderId="15" xfId="0" applyNumberFormat="1" applyFont="1" applyFill="1" applyBorder="1" applyAlignment="1">
      <x:alignment horizontal="center" vertical="center"/>
    </x:xf>
    <x:xf numFmtId="0" fontId="12" fillId="3" borderId="16" xfId="0" applyNumberFormat="1" applyFont="1" applyFill="1" applyBorder="1" applyAlignment="1">
      <x:alignment horizontal="center" vertical="center"/>
    </x:xf>
    <x:xf numFmtId="0" fontId="13" fillId="2" borderId="17" xfId="0" applyNumberFormat="1" applyFont="1" applyFill="1" applyBorder="1" applyAlignment="1">
      <x:alignment vertical="center"/>
    </x:xf>
    <x:xf numFmtId="0" fontId="13" fillId="2" borderId="18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vertical="center"/>
    </x:xf>
    <x:xf numFmtId="0" fontId="10" fillId="5" borderId="19" xfId="0" applyNumberFormat="1" applyFont="1" applyFill="1" applyBorder="1" applyAlignment="1">
      <x:alignment vertical="center"/>
    </x:xf>
    <x:xf numFmtId="0" fontId="10" fillId="5" borderId="20" xfId="0" applyNumberFormat="1" applyFont="1" applyFill="1" applyBorder="1" applyAlignment="1">
      <x:alignment vertical="center"/>
    </x:xf>
    <x:xf numFmtId="0" fontId="14" fillId="3" borderId="23" xfId="0" applyNumberFormat="1" applyFont="1" applyFill="1" applyBorder="1" applyAlignment="1">
      <x:alignment vertical="center" wrapText="1"/>
    </x:xf>
    <x:xf numFmtId="0" fontId="14" fillId="3" borderId="24" xfId="0" applyNumberFormat="1" applyFont="1" applyFill="1" applyBorder="1" applyAlignment="1">
      <x:alignment vertical="center" wrapText="1"/>
    </x:xf>
    <x:xf numFmtId="0" fontId="14" fillId="3" borderId="25" xfId="0" applyNumberFormat="1" applyFont="1" applyFill="1" applyBorder="1" applyAlignment="1">
      <x:alignment vertical="center" wrapText="1"/>
    </x:xf>
    <x:xf numFmtId="0" fontId="14" fillId="3" borderId="26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0" fontId="14" fillId="3" borderId="27" xfId="0" applyNumberFormat="1" applyFont="1" applyFill="1" applyBorder="1" applyAlignment="1">
      <x:alignment vertical="center" wrapText="1"/>
    </x:xf>
    <x:xf numFmtId="0" fontId="10" fillId="5" borderId="21" xfId="0" applyNumberFormat="1" applyFont="1" applyFill="1" applyBorder="1" applyAlignment="1">
      <x:alignment vertical="center"/>
    </x:xf>
    <x:xf numFmtId="0" fontId="10" fillId="5" borderId="22" xfId="0" applyNumberFormat="1" applyFont="1" applyFill="1" applyBorder="1" applyAlignment="1">
      <x:alignment vertical="center"/>
    </x:xf>
    <x:xf numFmtId="0" fontId="14" fillId="3" borderId="28" xfId="0" applyNumberFormat="1" applyFont="1" applyFill="1" applyBorder="1" applyAlignment="1">
      <x:alignment vertical="center" wrapText="1"/>
    </x:xf>
    <x:xf numFmtId="0" fontId="14" fillId="3" borderId="29" xfId="0" applyNumberFormat="1" applyFont="1" applyFill="1" applyBorder="1" applyAlignment="1">
      <x:alignment vertical="center" wrapText="1"/>
    </x:xf>
    <x:xf numFmtId="0" fontId="14" fillId="3" borderId="30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106cbf7f347e7" /><Relationship Type="http://schemas.openxmlformats.org/officeDocument/2006/relationships/theme" Target="/xl/theme/theme1.xml" Id="R81d8dba22d6b4f41" /><Relationship Type="http://schemas.openxmlformats.org/officeDocument/2006/relationships/sharedStrings" Target="/xl/sharedStrings.xml" Id="R0ab0427377824fa3" /><Relationship Type="http://schemas.openxmlformats.org/officeDocument/2006/relationships/worksheet" Target="/xl/worksheets/sheet1.xml" Id="R425ebfd29be24052" /><Relationship Type="http://schemas.openxmlformats.org/officeDocument/2006/relationships/worksheet" Target="/xl/worksheets/sheet2.xml" Id="R023e107f7f474300" /></Relationships>
</file>

<file path=xl/tables/table1.xml><?xml version="1.0" encoding="utf-8"?>
<x:table xmlns:x="http://schemas.openxmlformats.org/spreadsheetml/2006/main" id="1" name="EvidenceLedger" displayName="EvidenceLedger" ref="A1:T203" headerRowCount="1" totalsRowCount="0" totalsRowShown="0">
  <x:tableColumns count="20">
    <x:tableColumn id="1" name="record_id"/>
    <x:tableColumn id="2" name="batch_id"/>
    <x:tableColumn id="3" name="path"/>
    <x:tableColumn id="4" name="sha256"/>
    <x:tableColumn id="5" name="bytes"/>
    <x:tableColumn id="6" name="inventory_snapshot_git_status"/>
    <x:tableColumn id="7" name="effective_snapshot_git_status"/>
    <x:tableColumn id="8" name="inventory_material_role"/>
    <x:tableColumn id="9" name="document_class"/>
    <x:tableColumn id="10" name="source_type"/>
    <x:tableColumn id="11" name="current_applicability"/>
    <x:tableColumn id="12" name="history_or_derivation"/>
    <x:tableColumn id="13" name="approval_named_authorizer"/>
    <x:tableColumn id="14" name="approval_date"/>
    <x:tableColumn id="15" name="approval_scope"/>
    <x:tableColumn id="16" name="approval_version_binding"/>
    <x:tableColumn id="17" name="document_approval_state"/>
    <x:tableColumn id="18" name="atomic_requirement_extraction_route"/>
    <x:tableColumn id="19" name="evidence_or_conflict_pointers"/>
    <x:tableColumn id="20" name="investigation_poin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fa6e0a44fa4a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4" hidden="0" customWidth="1"/>
    <x:col min="5" max="5" width="22" hidden="0" customWidth="1"/>
    <x:col min="6" max="6" width="22" hidden="0" customWidth="1"/>
  </x:cols>
  <x:sheetData>
    <x:row r="1" ht="36" customHeight="1">
      <x:c r="A1" s="131" t="str">
        <x:v>R01–R05 文档级证据分类账</x:v>
      </x:c>
      <x:c r="B1" s="131"/>
      <x:c r="C1" s="131"/>
      <x:c r="D1" s="131"/>
      <x:c r="E1" s="131"/>
      <x:c r="F1" s="131"/>
    </x:row>
    <x:row r="2">
      <x:c r="A2" s="160"/>
      <x:c r="B2" s="160"/>
      <x:c r="C2" s="160"/>
      <x:c r="D2" s="160"/>
      <x:c r="E2" s="160"/>
      <x:c r="F2" s="160"/>
    </x:row>
    <x:row r="3">
      <x:c r="A3" s="161" t="str">
        <x:v>总记录</x:v>
      </x:c>
      <x:c r="B3" s="162"/>
      <x:c r="C3" s="163" t="str">
        <x:v>分类误当批准</x:v>
      </x:c>
      <x:c r="D3" s="164"/>
      <x:c r="E3" s="163" t="str">
        <x:v>四要素完整批准</x:v>
      </x:c>
      <x:c r="F3" s="164"/>
    </x:row>
    <x:row r="4">
      <x:c r="A4" s="165" t="n">
        <x:f>COUNTA('Ledger'!$C$2:$C$203)</x:f>
        <x:v>202</x:v>
      </x:c>
      <x:c r="B4" s="166"/>
      <x:c r="C4" s="167" t="n">
        <x:f>COUNTIF('Ledger'!$Q$2:$Q$203,"&lt;&gt;not-approved-by-this-classification")</x:f>
        <x:v>0</x:v>
      </x:c>
      <x:c r="D4" s="168"/>
      <x:c r="E4" s="167" t="n">
        <x:f>COUNTIFS('Ledger'!$M$2:$M$203,"&lt;&gt;not-found",'Ledger'!$N$2:$N$203,"&lt;&gt;not-found",'Ledger'!$O$2:$O$203,"&lt;&gt;not-found",'Ledger'!$P$2:$P$203,"&lt;&gt;not-found")</x:f>
        <x:v>0</x:v>
      </x:c>
      <x:c r="F4" s="168"/>
    </x:row>
    <x:row r="5">
      <x:c r="A5" s="160"/>
      <x:c r="B5" s="160"/>
      <x:c r="C5" s="160"/>
      <x:c r="D5" s="160"/>
      <x:c r="E5" s="160"/>
      <x:c r="F5" s="160"/>
    </x:row>
    <x:row r="6">
      <x:c r="A6" s="169" t="str">
        <x:v>批次</x:v>
      </x:c>
      <x:c r="B6" s="170" t="str">
        <x:v>记录数</x:v>
      </x:c>
      <x:c r="C6" s="160"/>
      <x:c r="D6" s="171" t="str">
        <x:v>阅读边界</x:v>
      </x:c>
      <x:c r="E6" s="171"/>
      <x:c r="F6" s="171"/>
    </x:row>
    <x:row r="7" ht="22" customHeight="1">
      <x:c r="A7" s="172" t="str">
        <x:v>R01</x:v>
      </x:c>
      <x:c r="B7" s="173" t="n">
        <x:f>COUNTIF('Ledger'!$B$2:$B$203,A7)</x:f>
        <x:v>19</x:v>
      </x:c>
      <x:c r="C7" s="160"/>
      <x:c r="D7" s="174" t="str">
        <x:v>本表是文档级证据分类，不是需求批准。每条记录的批准人、日期、适用范围和版本绑定均保持为 not-found；只有后续原子化、补证、冲突裁决与用户显式批准，才可能进入当前需求基线。</x:v>
      </x:c>
      <x:c r="E7" s="175"/>
      <x:c r="F7" s="176"/>
    </x:row>
    <x:row r="8" ht="22" customHeight="1">
      <x:c r="A8" s="172" t="str">
        <x:v>R02</x:v>
      </x:c>
      <x:c r="B8" s="173" t="n">
        <x:f>COUNTIF('Ledger'!$B$2:$B$203,A8)</x:f>
        <x:v>27</x:v>
      </x:c>
      <x:c r="C8" s="160"/>
      <x:c r="D8" s="177"/>
      <x:c r="E8" s="178"/>
      <x:c r="F8" s="179"/>
    </x:row>
    <x:row r="9" ht="22" customHeight="1">
      <x:c r="A9" s="172" t="str">
        <x:v>R03</x:v>
      </x:c>
      <x:c r="B9" s="173" t="n">
        <x:f>COUNTIF('Ledger'!$B$2:$B$203,A9)</x:f>
        <x:v>48</x:v>
      </x:c>
      <x:c r="C9" s="160"/>
      <x:c r="D9" s="177"/>
      <x:c r="E9" s="178"/>
      <x:c r="F9" s="179"/>
    </x:row>
    <x:row r="10" ht="22" customHeight="1">
      <x:c r="A10" s="172" t="str">
        <x:v>R04</x:v>
      </x:c>
      <x:c r="B10" s="173" t="n">
        <x:f>COUNTIF('Ledger'!$B$2:$B$203,A10)</x:f>
        <x:v>41</x:v>
      </x:c>
      <x:c r="C10" s="160"/>
      <x:c r="D10" s="177"/>
      <x:c r="E10" s="178"/>
      <x:c r="F10" s="179"/>
    </x:row>
    <x:row r="11" ht="22" customHeight="1">
      <x:c r="A11" s="180" t="str">
        <x:v>R05</x:v>
      </x:c>
      <x:c r="B11" s="181" t="n">
        <x:f>COUNTIF('Ledger'!$B$2:$B$203,A11)</x:f>
        <x:v>67</x:v>
      </x:c>
      <x:c r="C11" s="160"/>
      <x:c r="D11" s="182"/>
      <x:c r="E11" s="183"/>
      <x:c r="F11" s="184"/>
    </x:row>
    <x:row r="12">
      <x:c r="A12" s="160"/>
      <x:c r="B12" s="160"/>
      <x:c r="C12" s="160"/>
      <x:c r="D12" s="160"/>
      <x:c r="E12" s="160"/>
      <x:c r="F12" s="160"/>
    </x:row>
    <x:row r="13">
      <x:c r="A13" s="185" t="str">
        <x:v>使用方式</x:v>
      </x:c>
      <x:c r="B13" s="185"/>
      <x:c r="C13" s="185"/>
      <x:c r="D13" s="185"/>
      <x:c r="E13" s="185"/>
      <x:c r="F13" s="185"/>
    </x:row>
    <x:row r="14">
      <x:c r="A14" s="186" t="str">
        <x:v>1</x:v>
      </x:c>
      <x:c r="B14" s="187" t="str">
        <x:v>在 Ledger 按 batch_id、document_class 或 atomic_requirement_extraction_route 筛选。</x:v>
      </x:c>
      <x:c r="C14" s="187"/>
      <x:c r="D14" s="187"/>
      <x:c r="E14" s="187"/>
      <x:c r="F14" s="187"/>
    </x:row>
    <x:row r="15">
      <x:c r="A15" s="186" t="str">
        <x:v>2</x:v>
      </x:c>
      <x:c r="B15" s="187" t="str">
        <x:v>详细证据与冲突缺口以 investigation_pointer 指向的调查报告为准。</x:v>
      </x:c>
      <x:c r="C15" s="187"/>
      <x:c r="D15" s="187"/>
      <x:c r="E15" s="187"/>
      <x:c r="F15" s="187"/>
    </x:row>
  </x:sheetData>
  <x:mergeCells>
    <x:mergeCell ref="A1:F1"/>
    <x:mergeCell ref="D6:F6"/>
    <x:mergeCell ref="D7:F11"/>
    <x:mergeCell ref="A13:F13"/>
    <x:mergeCell ref="B14:F14"/>
    <x:mergeCell ref="B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55" hidden="0" customWidth="1"/>
    <x:col min="4" max="4" width="66" hidden="0" customWidth="1"/>
    <x:col min="5" max="5" width="12" hidden="0" customWidth="1"/>
    <x:col min="6" max="6" width="20" hidden="0" customWidth="1"/>
    <x:col min="7" max="7" width="20" hidden="0" customWidth="1"/>
    <x:col min="8" max="8" width="24" hidden="0" customWidth="1"/>
    <x:col min="9" max="9" width="38" hidden="0" customWidth="1"/>
    <x:col min="10" max="10" width="42" hidden="0" customWidth="1"/>
    <x:col min="11" max="11" width="60" hidden="0" customWidth="1"/>
    <x:col min="12" max="12" width="60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34" hidden="0" customWidth="1"/>
    <x:col min="18" max="18" width="56" hidden="0" customWidth="1"/>
    <x:col min="19" max="19" width="62" hidden="0" customWidth="1"/>
    <x:col min="20" max="20" width="42" hidden="0" customWidth="1"/>
  </x:cols>
  <x:sheetData>
    <x:row r="1" ht="42" customHeight="1">
      <x:c r="A1" s="9" t="str">
        <x:v>record_id</x:v>
      </x:c>
      <x:c r="B1" s="10" t="str">
        <x:v>batch_id</x:v>
      </x:c>
      <x:c r="C1" s="10" t="str">
        <x:v>path</x:v>
      </x:c>
      <x:c r="D1" s="10" t="str">
        <x:v>sha256</x:v>
      </x:c>
      <x:c r="E1" s="10" t="str">
        <x:v>bytes</x:v>
      </x:c>
      <x:c r="F1" s="10" t="str">
        <x:v>inventory_snapshot_git_status</x:v>
      </x:c>
      <x:c r="G1" s="10" t="str">
        <x:v>effective_snapshot_git_status</x:v>
      </x:c>
      <x:c r="H1" s="10" t="str">
        <x:v>inventory_material_role</x:v>
      </x:c>
      <x:c r="I1" s="10" t="str">
        <x:v>document_class</x:v>
      </x:c>
      <x:c r="J1" s="10" t="str">
        <x:v>source_type</x:v>
      </x:c>
      <x:c r="K1" s="10" t="str">
        <x:v>current_applicability</x:v>
      </x:c>
      <x:c r="L1" s="10" t="str">
        <x:v>history_or_derivation</x:v>
      </x:c>
      <x:c r="M1" s="10" t="str">
        <x:v>approval_named_authorizer</x:v>
      </x:c>
      <x:c r="N1" s="10" t="str">
        <x:v>approval_date</x:v>
      </x:c>
      <x:c r="O1" s="10" t="str">
        <x:v>approval_scope</x:v>
      </x:c>
      <x:c r="P1" s="10" t="str">
        <x:v>approval_version_binding</x:v>
      </x:c>
      <x:c r="Q1" s="10" t="str">
        <x:v>document_approval_state</x:v>
      </x:c>
      <x:c r="R1" s="10" t="str">
        <x:v>atomic_requirement_extraction_route</x:v>
      </x:c>
      <x:c r="S1" s="10" t="str">
        <x:v>evidence_or_conflict_pointers</x:v>
      </x:c>
      <x:c r="T1" s="11" t="str">
        <x:v>investigation_pointer</x:v>
      </x:c>
    </x:row>
    <x:row r="2" ht="48" customHeight="1">
      <x:c r="A2" s="42" t="str">
        <x:v>R01-01</x:v>
      </x:c>
      <x:c r="B2" s="43" t="str">
        <x:v>R01</x:v>
      </x:c>
      <x:c r="C2" s="31" t="str">
        <x:v>mes/宿迁长电AGV项目MES数据接口需求确认.md</x:v>
      </x:c>
      <x:c r="D2" s="48" t="str">
        <x:v>d205a6816f8216bacd46f3527755fdc9a6767e50246bb8eedf54cad752a3753b</x:v>
      </x:c>
      <x:c r="E2" s="39" t="n">
        <x:v>397</x:v>
      </x:c>
      <x:c r="F2" s="31" t="str">
        <x:v>untracked</x:v>
      </x:c>
      <x:c r="G2" s="31" t="str">
        <x:v>tracked-clean</x:v>
      </x:c>
      <x:c r="H2" s="31" t="str">
        <x:v>candidate-source</x:v>
      </x:c>
      <x:c r="I2" s="31" t="str">
        <x:v>已废弃内容的迁移指针/追踪辅助，不是需求权威源</x:v>
      </x:c>
      <x:c r="J2" s="31" t="str">
        <x:v>已废弃内容的迁移指针/追踪辅助，不是需求权威源</x:v>
      </x:c>
      <x:c r="K2" s="31" t="str">
        <x:v>无具名批准、批准日期、批准范围或版本绑定。迁移声明只证明仓库维护关系，不批准目标文档。当前项目中仅适合作为历史路径与迁移指针。 对其原有需求内容可判为“已有明确替代/迁移”；对指向的新正文仍无权威批准。文档级分类：**已废弃内容的迁移指针/追踪辅助，不是需求权威源**。</x:v>
      </x:c>
      <x:c r="L2" s="31" t="str">
        <x:v>当前内容只有“文档已迁移”指针。Git 最早见于 `96eb203...`（2026-07-13 08:32:32+08:00），后经 `0b2246c...`、`48a74dc...`，在 `5718541...`（2026-07-16 22:04:27+08:00）改成迁移状态。 明确指定 [R01-04](../../../../mes/docs/宿迁长电AGV项目MES数据接口需求确认.md) 为“唯一维护版本”，并禁止维护第二份副本；本文件不再承载需求正文。</x:v>
      </x:c>
      <x:c r="M2" s="51" t="str">
        <x:v>not-found</x:v>
      </x:c>
      <x:c r="N2" s="51" t="str">
        <x:v>not-found</x:v>
      </x:c>
      <x:c r="O2" s="51" t="str">
        <x:v>not-found</x:v>
      </x:c>
      <x:c r="P2" s="51" t="str">
        <x:v>not-found</x:v>
      </x:c>
      <x:c r="Q2" s="54" t="str">
        <x:v>not-approved-by-this-classification</x:v>
      </x:c>
      <x:c r="R2" s="31" t="str">
        <x:v>do-not-extract-from-this-document</x:v>
      </x:c>
      <x:c r="S2" s="31" t="str">
        <x:v>不从本文件提取原子需求；所有候选转至 R01-04，并保留本路径作为迁移链证据。; detailed evidence gaps and any conflict candidates: R01-customer-project-source-materials.md section R01-01</x:v>
      </x:c>
      <x:c r="T2" s="32" t="str">
        <x:v>R01-customer-project-source-materials.md#R01-01</x:v>
      </x:c>
    </x:row>
    <x:row r="3" ht="48" customHeight="1">
      <x:c r="A3" s="44" t="str">
        <x:v>R01-02</x:v>
      </x:c>
      <x:c r="B3" s="45" t="str">
        <x:v>R01</x:v>
      </x:c>
      <x:c r="C3" s="34" t="str">
        <x:v>mes/AGV系统业务与MES任务模型.md</x:v>
      </x:c>
      <x:c r="D3" s="49" t="str">
        <x:v>f3e89600fa496fb0a4fe7c66cf694debcfe20de84a8d9e0adda676b69a755c4a</x:v>
      </x:c>
      <x:c r="E3" s="40" t="n">
        <x:v>212</x:v>
      </x:c>
      <x:c r="F3" s="34" t="str">
        <x:v>untracked</x:v>
      </x:c>
      <x:c r="G3" s="34" t="str">
        <x:v>tracked-clean</x:v>
      </x:c>
      <x:c r="H3" s="34" t="str">
        <x:v>candidate-source</x:v>
      </x:c>
      <x:c r="I3" s="34" t="str">
        <x:v>已废弃内容的迁移指针/追踪辅助，不是需求权威源</x:v>
      </x:c>
      <x:c r="J3" s="34" t="str">
        <x:v>已废弃内容的迁移指针/追踪辅助，不是需求权威源</x:v>
      </x:c>
      <x:c r="K3" s="34" t="str">
        <x:v>无具名批准或版本绑定；当前只适合作为迁移链证据。 文档级分类：**已废弃内容的迁移指针/追踪辅助，不是需求权威源**。</x:v>
      </x:c>
      <x:c r="L3" s="34" t="str">
        <x:v>Git 最早见于 `96eb203...`，在 `5718541...`（2026-07-16）改为迁移指针。 明确指定 [R01-05](../../../../mes/docs/AGV系统业务与MES任务模型.md) 为“唯一维护版本”，禁止维护副本。</x:v>
      </x:c>
      <x:c r="M3" s="52" t="str">
        <x:v>not-found</x:v>
      </x:c>
      <x:c r="N3" s="52" t="str">
        <x:v>not-found</x:v>
      </x:c>
      <x:c r="O3" s="52" t="str">
        <x:v>not-found</x:v>
      </x:c>
      <x:c r="P3" s="52" t="str">
        <x:v>not-found</x:v>
      </x:c>
      <x:c r="Q3" s="55" t="str">
        <x:v>not-approved-by-this-classification</x:v>
      </x:c>
      <x:c r="R3" s="34" t="str">
        <x:v>do-not-extract-from-this-document</x:v>
      </x:c>
      <x:c r="S3" s="34" t="str">
        <x:v>不提取需求；候选转至 R01-05。; detailed evidence gaps and any conflict candidates: R01-customer-project-source-materials.md section R01-02</x:v>
      </x:c>
      <x:c r="T3" s="35" t="str">
        <x:v>R01-customer-project-source-materials.md#R01-02</x:v>
      </x:c>
    </x:row>
    <x:row r="4" ht="48" customHeight="1">
      <x:c r="A4" s="44" t="str">
        <x:v>R01-03</x:v>
      </x:c>
      <x:c r="B4" s="45" t="str">
        <x:v>R01</x:v>
      </x:c>
      <x:c r="C4" s="34" t="str">
        <x:v>mes/docs/待处理事项清单-MES-RIOT-应用.docx</x:v>
      </x:c>
      <x:c r="D4" s="49" t="str">
        <x:v>966aec692696684299439c170b1a88dab7e9a3b3c0820c8c6417542d6c83980e</x:v>
      </x:c>
      <x:c r="E4" s="40" t="n">
        <x:v>43123</x:v>
      </x:c>
      <x:c r="F4" s="34" t="str">
        <x:v>untracked</x:v>
      </x:c>
      <x:c r="G4" s="34" t="str">
        <x:v>tracked-clean</x:v>
      </x:c>
      <x:c r="H4" s="34" t="str">
        <x:v>candidate-source</x:v>
      </x:c>
      <x:c r="I4" s="34" t="str">
        <x:v>来源未知的内部工作清单/历史状态证据</x:v>
      </x:c>
      <x:c r="J4" s="34" t="str">
        <x:v>来源未知的内部工作清单/历史状态证据</x:v>
      </x:c>
      <x:c r="K4" s="34" t="str">
        <x:v>没有签名、批准人、批准日期、批准范围或具体版本认可。文本中的“客户曾确认”“口头确认”“现场已确认”“IT 群已询问”等均未具名、未附记录；多处又明确“规则待书面确认”“待确认”。当前项目中可作为 2026-07-17 风险/沟通线索，不可作为当前需求或完成状态。 缺会议/群聊原文、参加者身份、口头确认主体、反馈日期及每项结论对应版本。文档级分类：**来源未知的内部工作清单/历史状态证据**。</x:v>
      </x:c>
      <x:c r="L4" s="34" t="str">
        <x:v>正文自称“整理日期：2026-07-17”，是内部 MES、RIOT、应用和客户沟通待办汇总；Git 在 `e6dc9ea...`（2026-07-23 08:17:46+08:00）首次加入。OOXML `creator=python-docx`、`description=generated by python-docx`，且 core 时间为 python-docx 默认的 2013-12-23，不能当作真实形成时间；正文日期与首次 Git 捕获才是可核查的上下界线索。 单一 Git 版本，无修订标记、批注或嵌入媒体。内容记录“第六类 SQL 未反馈”等 2026-07-17 状态；R01-04/05 后续已经出现第六类任务，因此只能证明当时的待办快照，不能当作当前状态。此为有日期支持的时间范围差异，不是仅凭“较新文件”推断替代。</x:v>
      </x:c>
      <x:c r="M4" s="52" t="str">
        <x:v>not-found</x:v>
      </x:c>
      <x:c r="N4" s="52" t="str">
        <x:v>not-found</x:v>
      </x:c>
      <x:c r="O4" s="52" t="str">
        <x:v>not-found</x:v>
      </x:c>
      <x:c r="P4" s="52" t="str">
        <x:v>not-found</x:v>
      </x:c>
      <x:c r="Q4" s="55" t="str">
        <x:v>not-approved-by-this-classification</x:v>
      </x:c>
      <x:c r="R4" s="34" t="str">
        <x:v>candidate-only-after-atomic-decomposition-evidence-review-and-explicit-approval</x:v>
      </x:c>
      <x:c r="S4" s="34" t="str">
        <x:v>按 `M-*`、`MC-*`、`R-*`、`RC-*`、`A-*`、`AC-*` 和第六章 6 项问题拆分；每项分别追到后续解决材料或保留为待确认，不把“建议动作”提取为客户需求。; detailed evidence gaps and any conflict candidates: R01-customer-project-source-materials.md section R01-03</x:v>
      </x:c>
      <x:c r="T4" s="35" t="str">
        <x:v>R01-customer-project-source-materials.md#R01-03</x:v>
      </x:c>
    </x:row>
    <x:row r="5" ht="48" customHeight="1">
      <x:c r="A5" s="44" t="str">
        <x:v>R01-04</x:v>
      </x:c>
      <x:c r="B5" s="45" t="str">
        <x:v>R01</x:v>
      </x:c>
      <x:c r="C5" s="34" t="str">
        <x:v>mes/docs/宿迁长电AGV项目MES数据接口需求确认.md</x:v>
      </x:c>
      <x:c r="D5" s="49" t="str">
        <x:v>294f2fff9b8bf58ff30b74f44dd1aab6f3551fcc505efed571890c0c23e9109b</x:v>
      </x:c>
      <x:c r="E5" s="40" t="n">
        <x:v>14751</x:v>
      </x:c>
      <x:c r="F5" s="34" t="str">
        <x:v>untracked</x:v>
      </x:c>
      <x:c r="G5" s="34" t="str">
        <x:v>tracked-clean</x:v>
      </x:c>
      <x:c r="H5" s="34" t="str">
        <x:v>candidate-source</x:v>
      </x:c>
      <x:c r="I5" s="34" t="str">
        <x:v>来源未知的混合内部汇总（含客户来源声明、未确认标签和待确认项）</x:v>
      </x:c>
      <x:c r="J5" s="34" t="str">
        <x:v>来源未知的混合内部汇总（含客户来源声明、未确认标签和待确认项）</x:v>
      </x:c>
      <x:c r="K5" s="34" t="str">
        <x:v>**未发现合格的具名批准证据。** 第 4 节“已确认结论”没有确认人、日期、范围或文档哈希；第 5.1(3) 还明确把“当前 7 字段正式查询的最终版本、执行计划和客户批准记录”列为待确认。第 6 节规定未来 evidence 必须保存批准信息，反证本文件自述标签不能替代批准记录。 缺查询交付/批准原件、各“已确认结论”的具名决策记录、适用车辆/站点/上线版本绑定，以及引用 evidence 的完整核验。文档级分类：**来源未知的混合内部汇总（含客户来源声明、未确认标签和待确认项）**。</x:v>
      </x:c>
      <x:c r="L5" s="34" t="str">
        <x:v>Git 在 `5718541...`（2026-07-16）加入 `mes/docs/`，后由 `ffe1f49...`（2026-07-27）和 `493ac5a...`（2026-07-31）修改。正文称记录业务问题、接口契约、已确认结论和待确认项，并称客户 IT 提供/批准查询；未附客户 IT 的姓名、授权、邮件、会议记录或批准对象哈希。 R01-01 明确把本文件指定为唯一维护版本；它又把机器可执行查询移到 `mes/catalog`/`mes/queries`，把生产证据移到 `mes/evidence`。因此本文件是业务/契约汇总，不是 SQL 字节本身；R01-06～09 是其声称的客户来源快照链的一部分。</x:v>
      </x:c>
      <x:c r="M5" s="52" t="str">
        <x:v>not-found</x:v>
      </x:c>
      <x:c r="N5" s="52" t="str">
        <x:v>not-found</x:v>
      </x:c>
      <x:c r="O5" s="52" t="str">
        <x:v>not-found</x:v>
      </x:c>
      <x:c r="P5" s="52" t="str">
        <x:v>not-found</x:v>
      </x:c>
      <x:c r="Q5" s="55" t="str">
        <x:v>not-approved-by-this-classification</x:v>
      </x:c>
      <x:c r="R5" s="34" t="str">
        <x:v>candidate-only-after-atomic-decomposition-evidence-review-and-explicit-approval</x:v>
      </x:c>
      <x:c r="S5" s="34" t="str">
        <x:v>逐条拆分 1.2 六类任务、1.3 接入规则、1.4 消失处理、1.5 多仓位、1.6 AREA 映射、2.1～2.5 查询契约、3 性能/安全、4(1～8) 自称已确认结论与 5(1～12) 待确认项；每条绑定相应查询/证据哈希后再分类。; detailed evidence gaps and any conflict candidates: R01-customer-project-source-materials.md section R01-04</x:v>
      </x:c>
      <x:c r="T5" s="35" t="str">
        <x:v>R01-customer-project-source-materials.md#R01-04</x:v>
      </x:c>
    </x:row>
    <x:row r="6" ht="48" customHeight="1">
      <x:c r="A6" s="44" t="str">
        <x:v>R01-05</x:v>
      </x:c>
      <x:c r="B6" s="45" t="str">
        <x:v>R01</x:v>
      </x:c>
      <x:c r="C6" s="34" t="str">
        <x:v>mes/docs/AGV系统业务与MES任务模型.md</x:v>
      </x:c>
      <x:c r="D6" s="49" t="str">
        <x:v>8d9210c25ea5f260131b42d60eb0734b09d2db89b8258b20f7ce5fdbe88da487</x:v>
      </x:c>
      <x:c r="E6" s="40" t="n">
        <x:v>59036</x:v>
      </x:c>
      <x:c r="F6" s="34" t="str">
        <x:v>untracked</x:v>
      </x:c>
      <x:c r="G6" s="34" t="str">
        <x:v>tracked-clean</x:v>
      </x:c>
      <x:c r="H6" s="34" t="str">
        <x:v>candidate-source</x:v>
      </x:c>
      <x:c r="I6" s="34" t="str">
        <x:v>来源未知的混合内部综合文档</x:v>
      </x:c>
      <x:c r="J6" s="34" t="str">
        <x:v>来源未知的混合内部综合文档</x:v>
      </x:c>
      <x:c r="K6" s="34" t="str">
        <x:v>**无。** 文档自定义“已确认/建议实现/待确认”标签，但没有任何标签对应的具名确认人、日期、授权范围或版本哈希。第 13 节保留大量待确认，第 13.3 又以日期写“决策”，仍未连接决策记录。 缺原始沟通记录、逐条标签来源、批准人/范围、内部链接的版本冻结与冲突裁决。没有证据证明本文由 AI 生成或修改；“用于 AI 协作”不能单独触发 AI 未确认分类。文档级分类：**来源未知的混合内部综合文档**。</x:v>
      </x:c>
      <x:c r="L6" s="34" t="str">
        <x:v>文首称为设计、开发与 AI 协作上下文，整合 R01-04 的 MES 契约和“需求沟通中已经确认”的流程/规则。Git 最早来自根部 R01-02（`96eb203...`），在 `5718541...` 以 66% 相似度复制到 `mes/docs/`，后经 `e6dc9ea...`、`ffe1f49...`、`493ac5a...` 持续扩展；R01-02 随后成为迁移指针。 是迁移后维护版兼内部综合模型，不是 R01-04 的重复；它吸收 R01-04、内部 UC/BR/ADR 风格链接和开发约束。第 10 节还明确指出其 AREA 自动派生模型与既有 UC-024/BR-003 的人工版本化映射口径有差异，须后续统一评审。</x:v>
      </x:c>
      <x:c r="M6" s="52" t="str">
        <x:v>not-found</x:v>
      </x:c>
      <x:c r="N6" s="52" t="str">
        <x:v>not-found</x:v>
      </x:c>
      <x:c r="O6" s="52" t="str">
        <x:v>not-found</x:v>
      </x:c>
      <x:c r="P6" s="52" t="str">
        <x:v>not-found</x:v>
      </x:c>
      <x:c r="Q6" s="55" t="str">
        <x:v>not-approved-by-this-classification</x:v>
      </x:c>
      <x:c r="R6" s="34" t="str">
        <x:v>candidate-only-after-atomic-decomposition-evidence-review-and-explicit-approval</x:v>
      </x:c>
      <x:c r="S6" s="34" t="str">
        <x:v>按第 3 节六类任务、第 4～7 节 MES 契约/状态、第 8～12 节多仓位/花篮/映射/流程/边界、第 13 节待定/关闭项和第 14 节实现约束拆分；第 10 节映射口径差异及第 13 节未决项进入后续冲突/待查清单。; detailed evidence gaps and any conflict candidates: R01-customer-project-source-materials.md section R01-05</x:v>
      </x:c>
      <x:c r="T6" s="35" t="str">
        <x:v>R01-customer-project-source-materials.md#R01-05</x:v>
      </x:c>
    </x:row>
    <x:row r="7" ht="48" customHeight="1">
      <x:c r="A7" s="44" t="str">
        <x:v>R01-06</x:v>
      </x:c>
      <x:c r="B7" s="45" t="str">
        <x:v>R01</x:v>
      </x:c>
      <x:c r="C7" s="34" t="str">
        <x:v>mes/sources/customer/2026-07-16/mes-task-original-queries/README.md</x:v>
      </x:c>
      <x:c r="D7" s="49" t="str">
        <x:v>65b681e80ac99b31dde74cddd01fd949bfbd70a809fc546dba959d25902e3637</x:v>
      </x:c>
      <x:c r="E7" s="40" t="n">
        <x:v>1286</x:v>
      </x:c>
      <x:c r="F7" s="34" t="str">
        <x:v>tracked-clean</x:v>
      </x:c>
      <x:c r="G7" s="34" t="str">
        <x:v>tracked-clean</x:v>
      </x:c>
      <x:c r="H7" s="34" t="str">
        <x:v>candidate-source</x:v>
      </x:c>
      <x:c r="I7" s="34" t="str">
        <x:v>来源未知（带内部客户来源声明的快照索引）</x:v>
      </x:c>
      <x:c r="J7" s="34" t="str">
        <x:v>来源未知（带内部客户来源声明的快照索引）</x:v>
      </x:c>
      <x:c r="K7" s="34" t="str">
        <x:v>只声明“客户原始 SQL 快照”及实验/差异研究边界；没有具名批准。当前适用性仅能验证为追溯/实验来源说明，不能证明 SQL 业务规则当前有效或已批准。 缺交付身份、交付原件、批准记录及客户版本号。文档级分类：**来源未知（带内部客户来源声明的快照索引）**。</x:v>
      </x:c>
      <x:c r="L7" s="34" t="str">
        <x:v>文内称 2026-07-16 从仓库既有五个 `original_queries` 归档客户原始 SQL；Git 在 `5718541...` 首次加入，`ffe1f49...`（2026-07-27）修改。未附客户姓名、交付邮件/会议纪要、原交付包哈希或归档操作者的可核查记录。 与 R01-09 是“五类旧快照/第六类新增快照”的并列、不覆盖关系；README 明确这些来源查询不进入运行时 catalog，正式查询指向 `MES_TASK_UNION`。</x:v>
      </x:c>
      <x:c r="M7" s="52" t="str">
        <x:v>not-found</x:v>
      </x:c>
      <x:c r="N7" s="52" t="str">
        <x:v>not-found</x:v>
      </x:c>
      <x:c r="O7" s="52" t="str">
        <x:v>not-found</x:v>
      </x:c>
      <x:c r="P7" s="52" t="str">
        <x:v>not-found</x:v>
      </x:c>
      <x:c r="Q7" s="55" t="str">
        <x:v>not-approved-by-this-classification</x:v>
      </x:c>
      <x:c r="R7" s="34" t="str">
        <x:v>do-not-extract-from-this-document</x:v>
      </x:c>
      <x:c r="S7" s="34" t="str">
        <x:v>后续逐个关联实际 SQL 哈希与 R01-04/R01-05 中五类任务映射，核对字段、筛选、有效期和客户确认；README 本身不生成需求条目。; detailed evidence gaps and any conflict candidates: R01-customer-project-source-materials.md section R01-06</x:v>
      </x:c>
      <x:c r="T7" s="35" t="str">
        <x:v>R01-customer-project-source-materials.md#R01-06</x:v>
      </x:c>
    </x:row>
    <x:row r="8" ht="48" customHeight="1">
      <x:c r="A8" s="44" t="str">
        <x:v>R01-07</x:v>
      </x:c>
      <x:c r="B8" s="45" t="str">
        <x:v>R01</x:v>
      </x:c>
      <x:c r="C8" s="34" t="str">
        <x:v>mes/sources/customer/2026-07-16/operator-identity/README.md</x:v>
      </x:c>
      <x:c r="D8" s="49" t="str">
        <x:v>ff0298b681634bf0bfea2be00b3caef471e1472a3499b25efb265e04edeb1a15</x:v>
      </x:c>
      <x:c r="E8" s="40" t="n">
        <x:v>793</x:v>
      </x:c>
      <x:c r="F8" s="34" t="str">
        <x:v>tracked-clean</x:v>
      </x:c>
      <x:c r="G8" s="34" t="str">
        <x:v>tracked-clean</x:v>
      </x:c>
      <x:c r="H8" s="34" t="str">
        <x:v>candidate-source</x:v>
      </x:c>
      <x:c r="I8" s="34" t="str">
        <x:v>来源未知（局部派生关系可核查的来源快照说明）</x:v>
      </x:c>
      <x:c r="J8" s="34" t="str">
        <x:v>来源未知（局部派生关系可核查的来源快照说明）</x:v>
      </x:c>
      <x:c r="K8" s="34" t="str">
        <x:v>自述的“正式”不是批准证据。适用边界明确为追溯和差异研究、不得运行时加载。 缺原始交付、版本/哈希链、具名批准和权限范围。文档级分类：**来源未知（局部派生关系可核查的来源快照说明）**。</x:v>
      </x:c>
      <x:c r="L8" s="34" t="str">
        <x:v>`5718541...` 首次加入。称来源是客户提供且写入 R01-04 第 7 节的查询定义与旧路径 SQL；未具名客户提供者或交接证据。 把 `query.sql` 定义为 2026-07-16 当时“最新正式 SQL”的来源快照，并明确不是另一个正式版本；运行时对应 `OP_OPERATOR_IDENTITY` 查询包。</x:v>
      </x:c>
      <x:c r="M8" s="52" t="str">
        <x:v>not-found</x:v>
      </x:c>
      <x:c r="N8" s="52" t="str">
        <x:v>not-found</x:v>
      </x:c>
      <x:c r="O8" s="52" t="str">
        <x:v>not-found</x:v>
      </x:c>
      <x:c r="P8" s="52" t="str">
        <x:v>not-found</x:v>
      </x:c>
      <x:c r="Q8" s="55" t="str">
        <x:v>not-approved-by-this-classification</x:v>
      </x:c>
      <x:c r="R8" s="34" t="str">
        <x:v>candidate-only-after-atomic-decomposition-evidence-review-and-explicit-approval</x:v>
      </x:c>
      <x:c r="S8" s="34" t="str">
        <x:v>核对 R01-04 第 7 节、旧 SQL、快照 SQL、正式查询包四方差异；把“工号→姓名/权限边界”拆分处理。; detailed evidence gaps and any conflict candidates: R01-customer-project-source-materials.md section R01-07</x:v>
      </x:c>
      <x:c r="T8" s="35" t="str">
        <x:v>R01-customer-project-source-materials.md#R01-07</x:v>
      </x:c>
    </x:row>
    <x:row r="9" ht="48" customHeight="1">
      <x:c r="A9" s="44" t="str">
        <x:v>R01-08</x:v>
      </x:c>
      <x:c r="B9" s="45" t="str">
        <x:v>R01</x:v>
      </x:c>
      <x:c r="C9" s="34" t="str">
        <x:v>mes/sources/customer/2026-07-16/sublot-box-count/README.md</x:v>
      </x:c>
      <x:c r="D9" s="49" t="str">
        <x:v>019aa8030935017b0ed86982f1fe76d5ef9ff39d54a9a28c36ebff0885988cd2</x:v>
      </x:c>
      <x:c r="E9" s="40" t="n">
        <x:v>784</x:v>
      </x:c>
      <x:c r="F9" s="34" t="str">
        <x:v>tracked-clean</x:v>
      </x:c>
      <x:c r="G9" s="34" t="str">
        <x:v>tracked-clean</x:v>
      </x:c>
      <x:c r="H9" s="34" t="str">
        <x:v>candidate-source</x:v>
      </x:c>
      <x:c r="I9" s="34" t="str">
        <x:v>来源未知（局部派生关系可核查的来源快照说明）</x:v>
      </x:c>
      <x:c r="J9" s="34" t="str">
        <x:v>来源未知（局部派生关系可核查的来源快照说明）</x:v>
      </x:c>
      <x:c r="K9" s="34" t="str">
        <x:v>只明确追溯/研究用途并禁止运行时依赖；不能证明查询逻辑当前有效。 文档级分类：**来源未知（局部派生关系可核查的来源快照说明）**。</x:v>
      </x:c>
      <x:c r="L9" s="34" t="str">
        <x:v>`5718541...` 首次加入。称来源是客户提供且写入 R01-04 第 6 节的查询定义与旧路径 SQL；没有交接人或客户批准证据。 `query.sql` 是 2026-07-16 来源快照，不另立正式版本；运行时对应 `SUBLOT_BOX_COUNT` 查询包。</x:v>
      </x:c>
      <x:c r="M9" s="52" t="str">
        <x:v>not-found</x:v>
      </x:c>
      <x:c r="N9" s="52" t="str">
        <x:v>not-found</x:v>
      </x:c>
      <x:c r="O9" s="52" t="str">
        <x:v>not-found</x:v>
      </x:c>
      <x:c r="P9" s="52" t="str">
        <x:v>not-found</x:v>
      </x:c>
      <x:c r="Q9" s="55" t="str">
        <x:v>not-approved-by-this-classification</x:v>
      </x:c>
      <x:c r="R9" s="34" t="str">
        <x:v>candidate-only-after-atomic-decomposition-evidence-review-and-explicit-approval</x:v>
      </x:c>
      <x:c r="S9" s="34" t="str">
        <x:v>核对 R01-04 第 6 节和查询文件，分别提取输入键、计数语义、缺失/多行处理及适用产品范围。; detailed evidence gaps and any conflict candidates: R01-customer-project-source-materials.md section R01-08</x:v>
      </x:c>
      <x:c r="T9" s="35" t="str">
        <x:v>R01-customer-project-source-materials.md#R01-08</x:v>
      </x:c>
    </x:row>
    <x:row r="10" ht="48" customHeight="1">
      <x:c r="A10" s="44" t="str">
        <x:v>R01-09</x:v>
      </x:c>
      <x:c r="B10" s="45" t="str">
        <x:v>R01</x:v>
      </x:c>
      <x:c r="C10" s="34" t="str">
        <x:v>mes/sources/customer/2026-07-24/mes-task-original-queries/README.md</x:v>
      </x:c>
      <x:c r="D10" s="49" t="str">
        <x:v>3c94d4580f4f4e25ab3cf4a34ad4b1675384a07da70a19d78f98b0986c55b070</x:v>
      </x:c>
      <x:c r="E10" s="40" t="n">
        <x:v>1195</x:v>
      </x:c>
      <x:c r="F10" s="34" t="str">
        <x:v>tracked-clean</x:v>
      </x:c>
      <x:c r="G10" s="34" t="str">
        <x:v>tracked-clean</x:v>
      </x:c>
      <x:c r="H10" s="34" t="str">
        <x:v>candidate-source</x:v>
      </x:c>
      <x:c r="I10" s="34" t="str">
        <x:v>来源未知（带内部客户来源声明的增量快照索引）</x:v>
      </x:c>
      <x:c r="J10" s="34" t="str">
        <x:v>来源未知（带内部客户来源声明的增量快照索引）</x:v>
      </x:c>
      <x:c r="K10" s="34" t="str">
        <x:v>没有具名客户、批准范围或原交付包。当前只可作为新增来源的内部归档声明。 文档级分类：**来源未知（带内部客户来源声明的增量快照索引）**。</x:v>
      </x:c>
      <x:c r="L10" s="34" t="str">
        <x:v>文内称归档客户新增第六类 `WIRE_TO_NITROGEN` SQL；Git 在 `ffe1f49...`（2026-07-27）以与 R01-06 54% 相似复制加入。目录日期不是交付批准日期证据。 明确补充 R01-06 的五类快照且不覆盖；两份 README 共享用途/运行边界文字，实际 SQL 合并到同一 `MES_TASK_UNION` 正式查询。</x:v>
      </x:c>
      <x:c r="M10" s="52" t="str">
        <x:v>not-found</x:v>
      </x:c>
      <x:c r="N10" s="52" t="str">
        <x:v>not-found</x:v>
      </x:c>
      <x:c r="O10" s="52" t="str">
        <x:v>not-found</x:v>
      </x:c>
      <x:c r="P10" s="52" t="str">
        <x:v>not-found</x:v>
      </x:c>
      <x:c r="Q10" s="55" t="str">
        <x:v>not-approved-by-this-classification</x:v>
      </x:c>
      <x:c r="R10" s="34" t="str">
        <x:v>candidate-only-after-atomic-decomposition-evidence-review-and-explicit-approval</x:v>
      </x:c>
      <x:c r="S10" s="34" t="str">
        <x:v>将第六类的业务方向、筛选条件、字段和生效时间单独与 R01-04/R01-05 对齐，不能因“新增”自动覆盖或扩展前五类。; detailed evidence gaps and any conflict candidates: R01-customer-project-source-materials.md section R01-09</x:v>
      </x:c>
      <x:c r="T10" s="35" t="str">
        <x:v>R01-customer-project-source-materials.md#R01-09</x:v>
      </x:c>
    </x:row>
    <x:row r="11" ht="48" customHeight="1">
      <x:c r="A11" s="44" t="str">
        <x:v>R01-10</x:v>
      </x:c>
      <x:c r="B11" s="45" t="str">
        <x:v>R01</x:v>
      </x:c>
      <x:c r="C11" s="34" t="str">
        <x:v>project_agreements/20260527-新基智能AGV小车技术协议-TR前线.docx</x:v>
      </x:c>
      <x:c r="D11" s="49" t="str">
        <x:v>695a2a10310e53d6b15df52e865a0222127943ec204bdd46269b36dcd28ef32f</x:v>
      </x:c>
      <x:c r="E11" s="40" t="n">
        <x:v>54714</x:v>
      </x:c>
      <x:c r="F11" s="34" t="str">
        <x:v>untracked</x:v>
      </x:c>
      <x:c r="G11" s="34" t="str">
        <x:v>tracked-clean</x:v>
      </x:c>
      <x:c r="H11" s="34" t="str">
        <x:v>candidate-source</x:v>
      </x:c>
      <x:c r="I11" s="34" t="str">
        <x:v>来源未知的未生效/未签署技术协议候选</x:v>
      </x:c>
      <x:c r="J11" s="34" t="str">
        <x:v>来源未知的未生效/未签署技术协议候选</x:v>
      </x:c>
      <x:c r="K11" s="34" t="str">
        <x:v>**未批准。** 签约日期、合同号、甲乙方盖章、双方技术代表人、电话等均为空。正文第 10.6(32) 要求双方签字后生效，第 10.6(33) 要求长电设备处评审和技术负责人签字，第 12.1 又要求双方签字盖章；当前 OOXML 未见这些完成证据。`lastModifiedBy` 不能替代签字或授权。 缺签字盖章页、DCC/评审记录、有效合同附件关系、合同号、签订日期和最终不可变版本。文档级分类：**来源未知的未生效/未签署技术协议候选**。</x:v>
      </x:c>
      <x:c r="L11" s="34" t="str">
        <x:v>OOXML 标题为“设备技术协议签订书”，列甲方长电科技（宿迁）有限公司、乙方江阴新基电子设备有限公司；core 元数据 `creator=NTKO`、`lastModifiedBy=Wu Shuo 吴硕(D8-TR前线设备)`、创建 2024-12-03、修改 2026-05-26。文件名写 20260527，Git 在 `96eb203...`（2026-07-13）首次捕获。上述时间/作者只算元数据，不是批准。</x:v>
      </x:c>
      <x:c r="M11" s="52" t="str">
        <x:v>not-found</x:v>
      </x:c>
      <x:c r="N11" s="52" t="str">
        <x:v>not-found</x:v>
      </x:c>
      <x:c r="O11" s="52" t="str">
        <x:v>not-found</x:v>
      </x:c>
      <x:c r="P11" s="52" t="str">
        <x:v>not-found</x:v>
      </x:c>
      <x:c r="Q11" s="55" t="str">
        <x:v>not-approved-by-this-classification</x:v>
      </x:c>
      <x:c r="R11" s="34" t="str">
        <x:v>candidate-only-after-atomic-decomposition-evidence-review-and-explicit-approval</x:v>
      </x:c>
      <x:c r="S11" s="34" t="str">
        <x:v>优先拆第 4 条项目范围、第 10.1 基本配置、第 10.4 性能、第 10.6 售后/生效、第 10.7～10.9 验收；模板通用条款与已填项目特定条款分开，签署状态补齐前均不得批准。; detailed evidence gaps and any conflict candidates: R01-customer-project-source-materials.md section R01-10</x:v>
      </x:c>
      <x:c r="T11" s="35" t="str">
        <x:v>R01-customer-project-source-materials.md#R01-10</x:v>
      </x:c>
    </x:row>
    <x:row r="12" ht="48" customHeight="1">
      <x:c r="A12" s="44" t="str">
        <x:v>R01-11</x:v>
      </x:c>
      <x:c r="B12" s="45" t="str">
        <x:v>R01</x:v>
      </x:c>
      <x:c r="C12" s="34" t="str">
        <x:v>project_agreements/生产指令书-8005 多仓位AGV.docx</x:v>
      </x:c>
      <x:c r="D12" s="49" t="str">
        <x:v>be81a977929b6a3ae78488cc7fac7c9a9d16d2ba11c1b594cf2c505adc6cb4a9</x:v>
      </x:c>
      <x:c r="E12" s="40" t="n">
        <x:v>35632</x:v>
      </x:c>
      <x:c r="F12" s="34" t="str">
        <x:v>untracked</x:v>
      </x:c>
      <x:c r="G12" s="34" t="str">
        <x:v>tracked-clean</x:v>
      </x:c>
      <x:c r="H12" s="34" t="str">
        <x:v>candidate-source</x:v>
      </x:c>
      <x:c r="I12" s="34" t="str">
        <x:v>来源未知的内部生产计划/项目身份记录</x:v>
      </x:c>
      <x:c r="J12" s="34" t="str">
        <x:v>来源未知的内部生产计划/项目身份记录</x:v>
      </x:c>
      <x:c r="K12" s="34" t="str">
        <x:v>列出责任人与项目专案/监管人，不等于批准。没有签字、审批动作、批准日期、授权范围或版本绑定；元数据 `creator=hj`、`lastModifiedBy=工 沈` 也不是批准证据。 缺生产指令审批流程、签发人/签发日期、版本 B 的前后版本与变更原因、实际完成记录。文档级分类：**来源未知的内部生产计划/项目身份记录**。</x:v>
      </x:c>
      <x:c r="L12" s="34" t="str">
        <x:v>正文版本 B、编号 `QR-8.5-02`、订单号 `26/06/08-8005`、型号 `AGV300E8D`、数量 `3台300E`、交期 2026-07-24，并列 13 项计划与责任人；项目专案人/监管人均写沈竹逸。core 元数据创建 2019-07-25、最后打印 2026-06-10、修改 2026-06-11，Git 于 `96eb203...` 捕获。 单一 Git 版本；OOXML 无修订、批注、数字签名或媒体。R01-12 逐行重现其 13 行“工作内容/计划时间/责任人”表，构成内容级派生关系；R01-17 的“8005、3 台、300E”与本文件一致，但未建立正式引用。</x:v>
      </x:c>
      <x:c r="M12" s="52" t="str">
        <x:v>not-found</x:v>
      </x:c>
      <x:c r="N12" s="52" t="str">
        <x:v>not-found</x:v>
      </x:c>
      <x:c r="O12" s="52" t="str">
        <x:v>not-found</x:v>
      </x:c>
      <x:c r="P12" s="52" t="str">
        <x:v>not-found</x:v>
      </x:c>
      <x:c r="Q12" s="55" t="str">
        <x:v>not-approved-by-this-classification</x:v>
      </x:c>
      <x:c r="R12" s="34" t="str">
        <x:v>candidate-only-after-atomic-decomposition-evidence-review-and-explicit-approval</x:v>
      </x:c>
      <x:c r="S12" s="34" t="str">
        <x:v>项目标识、数量/型号/成本/交期、13 项工作计划、责任人与项目管理角色分别提取；技术需求只把数量/型号作为候选范围，不把责任分工当系统需求。; detailed evidence gaps and any conflict candidates: R01-customer-project-source-materials.md section R01-11</x:v>
      </x:c>
      <x:c r="T12" s="35" t="str">
        <x:v>R01-customer-project-source-materials.md#R01-11</x:v>
      </x:c>
    </x:row>
    <x:row r="13" ht="48" customHeight="1">
      <x:c r="A13" s="44" t="str">
        <x:v>R01-12</x:v>
      </x:c>
      <x:c r="B13" s="45" t="str">
        <x:v>R01</x:v>
      </x:c>
      <x:c r="C13" s="34" t="str">
        <x:v>project_agreements/项目分工和计划时间.png</x:v>
      </x:c>
      <x:c r="D13" s="49" t="str">
        <x:v>5f3dc4868dd8240f51ff57c6cb4e9243905686177df4bfe556b59b294cdd8d71</x:v>
      </x:c>
      <x:c r="E13" s="40" t="n">
        <x:v>36588</x:v>
      </x:c>
      <x:c r="F13" s="34" t="str">
        <x:v>untracked</x:v>
      </x:c>
      <x:c r="G13" s="34" t="str">
        <x:v>tracked-clean</x:v>
      </x:c>
      <x:c r="H13" s="34" t="str">
        <x:v>candidate-source</x:v>
      </x:c>
      <x:c r="I13" s="34" t="str">
        <x:v>追踪辅助的疑似派生图片；上游亦未获批准</x:v>
      </x:c>
      <x:c r="J13" s="34" t="str">
        <x:v>追踪辅助的疑似派生图片；上游亦未获批准</x:v>
      </x:c>
      <x:c r="K13" s="34" t="str">
        <x:v>图内姓名只表示责任分工；没有批准人、签名、版本号或适用范围。当前仅可辅助读取历史计划，不证明计划完成或需求批准。 缺原图生成方式、源文档版本哈希、截图者和使用场景。文档级分类：**追踪辅助的疑似派生图片；上游亦未获批准**。</x:v>
      </x:c>
      <x:c r="L13" s="34" t="str">
        <x:v>652×508 RGB PNG，无内嵌 PNG 文本/作者/时间元数据；Git 在 `96eb203...` 捕获。视觉检查显示 13 行工作分工、计划时间与责任人表。 图中行序、文字、日期和责任人与 R01-11 的 13 行表一致，且去掉了指令书其余字段。**推断：** 它很可能是 R01-11 表格的截图/裁剪；因没有内嵌来源链接或生成记录，不能把推断提升为已验证转换链。</x:v>
      </x:c>
      <x:c r="M13" s="52" t="str">
        <x:v>not-found</x:v>
      </x:c>
      <x:c r="N13" s="52" t="str">
        <x:v>not-found</x:v>
      </x:c>
      <x:c r="O13" s="52" t="str">
        <x:v>not-found</x:v>
      </x:c>
      <x:c r="P13" s="52" t="str">
        <x:v>not-found</x:v>
      </x:c>
      <x:c r="Q13" s="55" t="str">
        <x:v>not-approved-by-this-classification</x:v>
      </x:c>
      <x:c r="R13" s="34" t="str">
        <x:v>do-not-extract-from-this-document</x:v>
      </x:c>
      <x:c r="S13" s="34" t="str">
        <x:v>不重复生成需求条目；把每行链接回 R01-11 对应计划行，并保留图像哈希作为展示附件。; detailed evidence gaps and any conflict candidates: R01-customer-project-source-materials.md section R01-12</x:v>
      </x:c>
      <x:c r="T13" s="35" t="str">
        <x:v>R01-customer-project-source-materials.md#R01-12</x:v>
      </x:c>
    </x:row>
    <x:row r="14" ht="48" customHeight="1">
      <x:c r="A14" s="44" t="str">
        <x:v>R01-13</x:v>
      </x:c>
      <x:c r="B14" s="45" t="str">
        <x:v>R01</x:v>
      </x:c>
      <x:c r="C14" s="34" t="str">
        <x:v>requirement-documents/07-customer-deliverables/客户需求讨论稿-多仓位AGV系统.md</x:v>
      </x:c>
      <x:c r="D14" s="49" t="str">
        <x:v>8cdfda0e780e60ac096ac03f5864134c5584611804305ddf4bd3e4ef58082118</x:v>
      </x:c>
      <x:c r="E14" s="40" t="n">
        <x:v>70851</x:v>
      </x:c>
      <x:c r="F14" s="34" t="str">
        <x:v>untracked</x:v>
      </x:c>
      <x:c r="G14" s="34" t="str">
        <x:v>tracked-clean</x:v>
      </x:c>
      <x:c r="H14" s="34" t="str">
        <x:v>candidate-source</x:v>
      </x:c>
      <x:c r="I14" s="34" t="str">
        <x:v>来源未知的客户面向讨论草稿（混合候选、内部推导、待确认和自称关闭项）</x:v>
      </x:c>
      <x:c r="J14" s="34" t="str">
        <x:v>来源未知的客户面向讨论草稿（混合候选、内部推导、待确认和自称关闭项）</x:v>
      </x:c>
      <x:c r="K14" s="34" t="str">
        <x:v>**无。** 文件明确是讨论稿；第 7 章列待客户确认，第 7.3 虽标“已关闭事项”，仍未给出具名客户、会议/邮件、日期或版本哈希。正文“已确认”只能作为待追溯标签。 缺实际发送记录、收件/参与人、逐项客户答复、确认回写记录及 7 月 31 日版本是否重新对外讨论。文档级分类：**来源未知的客户面向讨论草稿（混合候选、内部推导、待确认和自称关闭项）**。</x:v>
      </x:c>
      <x:c r="L14" s="34" t="str">
        <x:v>标题为宿迁长电多仓位 AGV 系统需求讨论稿，元表写“版本：草稿、日期：2026-07-14、用途：供客户讨论；非正式合同文本，不作为验收或商务承诺依据”。Git 在 `ecd0fd8...`（2026-07-15）加入，`493ac5a...`（2026-07-31）修改。 R01-16 指定它为 Markdown 源稿、R01-14 为 Pandoc Word。Git 差异显示 7 月 31 日版本相对初始稿有 102 行增加/75 行删除，包括五类→六类任务、花篮模型、本站结束/超时、硬件恢复权限等实质变化；因此当前固定 Markdown **不是** R01-14 的相同版本，R01-14 是 7 月 14 日冻结衍生物。</x:v>
      </x:c>
      <x:c r="M14" s="52" t="str">
        <x:v>not-found</x:v>
      </x:c>
      <x:c r="N14" s="52" t="str">
        <x:v>not-found</x:v>
      </x:c>
      <x:c r="O14" s="52" t="str">
        <x:v>not-found</x:v>
      </x:c>
      <x:c r="P14" s="52" t="str">
        <x:v>not-found</x:v>
      </x:c>
      <x:c r="Q14" s="55" t="str">
        <x:v>not-approved-by-this-classification</x:v>
      </x:c>
      <x:c r="R14" s="34" t="str">
        <x:v>candidate-only-after-atomic-decomposition-evidence-review-and-explicit-approval</x:v>
      </x:c>
      <x:c r="S14" s="34" t="str">
        <x:v>元数据/用途单独保留；按第 2～5 章背景/边界/角色/BR、第 6 章每个 UC、第 7.1/7.2 待确认与第 7.3 自称关闭逐项拆分。特别标记 7 月 31 日新增/改写条目，不能继承 R01-14 的任何外发范围。; detailed evidence gaps and any conflict candidates: R01-customer-project-source-materials.md section R01-13</x:v>
      </x:c>
      <x:c r="T14" s="35" t="str">
        <x:v>R01-customer-project-source-materials.md#R01-13</x:v>
      </x:c>
    </x:row>
    <x:row r="15" ht="48" customHeight="1">
      <x:c r="A15" s="44" t="str">
        <x:v>R01-14</x:v>
      </x:c>
      <x:c r="B15" s="45" t="str">
        <x:v>R01</x:v>
      </x:c>
      <x:c r="C15" s="34" t="str">
        <x:v>requirement-documents/07-customer-deliverables/宿迁长电多仓位AGV系统-需求讨论稿-2026-07-14.docx</x:v>
      </x:c>
      <x:c r="D15" s="49" t="str">
        <x:v>b9d895560341b089f6849ccedb038ec6edb34faa783b617a667bb8c121214828</x:v>
      </x:c>
      <x:c r="E15" s="40" t="n">
        <x:v>93179</x:v>
      </x:c>
      <x:c r="F15" s="34" t="str">
        <x:v>untracked</x:v>
      </x:c>
      <x:c r="G15" s="34" t="str">
        <x:v>tracked-clean</x:v>
      </x:c>
      <x:c r="H15" s="34" t="str">
        <x:v>candidate-source</x:v>
      </x:c>
      <x:c r="I15" s="34" t="str">
        <x:v>可验证生成关系的未确认讨论稿衍生物</x:v>
      </x:c>
      <x:c r="J15" s="34" t="str">
        <x:v>可验证生成关系的未确认讨论稿衍生物</x:v>
      </x:c>
      <x:c r="K15" s="34" t="str">
        <x:v>**无。** 未发现签名、盖章、客户批注、发送/收件记录或逐项确认。DOCX 可外发格式及日期不证明已发送，更不证明客户批准。 缺实际发件证据、客户反馈版、批注/红线和批准结果；因上游 R01-13 未获权威批准，虽然生成关系明确，也未达到治理规则所称“可追溯派生文档”的权威等级。文档级分类：**可验证生成关系的未确认讨论稿衍生物**。</x:v>
      </x:c>
      <x:c r="L15" s="34" t="str">
        <x:v>R01-16 给出 Pandoc 从 R01-13 生成本 DOCX 的命令；OOXML core `created=modified=2026-07-14T03:52:41Z`，Git 在 `ecd0fd8...`（2026-07-15）加入。无 creator 字段，不能具名归因。 OOXML 无修订标记和正文批注引用；内嵌 `word/media/rId15.png` 的 SHA-256 为 `917293...`，与 R01-15 精确一致。正文明确“版本：草稿”“非正式合同文本”；只含当时五类任务/旧花篮等口径，未包含 R01-13 在 7 月 31 日的实质更新。</x:v>
      </x:c>
      <x:c r="M15" s="52" t="str">
        <x:v>not-found</x:v>
      </x:c>
      <x:c r="N15" s="52" t="str">
        <x:v>not-found</x:v>
      </x:c>
      <x:c r="O15" s="52" t="str">
        <x:v>not-found</x:v>
      </x:c>
      <x:c r="P15" s="52" t="str">
        <x:v>not-found</x:v>
      </x:c>
      <x:c r="Q15" s="55" t="str">
        <x:v>not-approved-by-this-classification</x:v>
      </x:c>
      <x:c r="R15" s="34" t="str">
        <x:v>candidate-only-after-atomic-decomposition-evidence-review-and-explicit-approval</x:v>
      </x:c>
      <x:c r="S15" s="34" t="str">
        <x:v>只对 7 月 14 日版本提取当时章节/UC/BR；用 Git 差异把它与 R01-13 后续新增条目隔离，所有外发/确认问题按该哈希追查。; detailed evidence gaps and any conflict candidates: R01-customer-project-source-materials.md section R01-14</x:v>
      </x:c>
      <x:c r="T15" s="35" t="str">
        <x:v>R01-customer-project-source-materials.md#R01-14</x:v>
      </x:c>
    </x:row>
    <x:row r="16" ht="48" customHeight="1">
      <x:c r="A16" s="44" t="str">
        <x:v>R01-15</x:v>
      </x:c>
      <x:c r="B16" s="45" t="str">
        <x:v>R01</x:v>
      </x:c>
      <x:c r="C16" s="34" t="str">
        <x:v>requirement-documents/07-customer-deliverables/assets/system-context.png</x:v>
      </x:c>
      <x:c r="D16" s="49" t="str">
        <x:v>917293dd7ca12a988e881c6565056830b0e8ed3e1197bf7e579da00290b67559</x:v>
      </x:c>
      <x:c r="E16" s="40" t="n">
        <x:v>48948</x:v>
      </x:c>
      <x:c r="F16" s="34" t="str">
        <x:v>tracked-clean</x:v>
      </x:c>
      <x:c r="G16" s="34" t="str">
        <x:v>tracked-clean</x:v>
      </x:c>
      <x:c r="H16" s="34" t="str">
        <x:v>candidate-source</x:v>
      </x:c>
      <x:c r="I16" s="34" t="str">
        <x:v>可验证嵌入/引用关系的未确认示意图</x:v>
      </x:c>
      <x:c r="J16" s="34" t="str">
        <x:v>可验证嵌入/引用关系的未确认示意图</x:v>
      </x:c>
      <x:c r="K16" s="34" t="str">
        <x:v>无签名、批准或范围说明。它与当前讨论稿第 3.1 节边界叙述相符，可作为图形候选，但不是独立的批准证据。 缺制图源、作者、变更历史、客户确认和图中每条边的版本绑定。文档级分类：**可验证嵌入/引用关系的未确认示意图**。</x:v>
      </x:c>
      <x:c r="L16" s="34" t="str">
        <x:v>784×257 RGB PNG，无内嵌 PNG 作者/时间元数据；Git 在 `ecd0fd8...` 加入。视觉内容将“多仓位 AGV 系统”置于边界内，外部为现场用户、MES、RCS/RIOT、AGV、IO 模块、电子锁、光幕。 R01-16 指定其为系统边界图；其字节以同一哈希嵌入 R01-14，R01-13 当前版继续引用同一路径。因此图像作为两个文本版本共享附件，不能自动继承任一文本的后续细节。</x:v>
      </x:c>
      <x:c r="M16" s="52" t="str">
        <x:v>not-found</x:v>
      </x:c>
      <x:c r="N16" s="52" t="str">
        <x:v>not-found</x:v>
      </x:c>
      <x:c r="O16" s="52" t="str">
        <x:v>not-found</x:v>
      </x:c>
      <x:c r="P16" s="52" t="str">
        <x:v>not-found</x:v>
      </x:c>
      <x:c r="Q16" s="55" t="str">
        <x:v>not-approved-by-this-classification</x:v>
      </x:c>
      <x:c r="R16" s="34" t="str">
        <x:v>candidate-only-after-atomic-decomposition-evidence-review-and-explicit-approval</x:v>
      </x:c>
      <x:c r="S16" s="34" t="str">
        <x:v>逐条提取系统边界内外实体和每条数据/控制流，绑定 R01-13 第 3 节；若文字与图冲突，以冲突候选登记，不自行让图或文字优先。; detailed evidence gaps and any conflict candidates: R01-customer-project-source-materials.md section R01-15</x:v>
      </x:c>
      <x:c r="T16" s="35" t="str">
        <x:v>R01-customer-project-source-materials.md#R01-15</x:v>
      </x:c>
    </x:row>
    <x:row r="17" ht="48" customHeight="1">
      <x:c r="A17" s="44" t="str">
        <x:v>R01-16</x:v>
      </x:c>
      <x:c r="B17" s="45" t="str">
        <x:v>R01</x:v>
      </x:c>
      <x:c r="C17" s="34" t="str">
        <x:v>requirement-documents/07-customer-deliverables/README.md</x:v>
      </x:c>
      <x:c r="D17" s="49" t="str">
        <x:v>86ef4e8f63807286a4e7f8f8c073089071e94bbbd8978bec0a95108d67aab7a8</x:v>
      </x:c>
      <x:c r="E17" s="40" t="n">
        <x:v>670</x:v>
      </x:c>
      <x:c r="F17" s="34" t="str">
        <x:v>tracked-clean</x:v>
      </x:c>
      <x:c r="G17" s="34" t="str">
        <x:v>tracked-clean</x:v>
      </x:c>
      <x:c r="H17" s="34" t="str">
        <x:v>candidate-source</x:v>
      </x:c>
      <x:c r="I17" s="34" t="str">
        <x:v>追踪辅助/生成索引；因上游未获权威确认，不达到“可追溯派生文档”权威等级</x:v>
      </x:c>
      <x:c r="J17" s="34" t="str">
        <x:v>追踪辅助/生成索引；因上游未获权威确认，不达到“可追溯派生文档”权威等级</x:v>
      </x:c>
      <x:c r="K17" s="34" t="str">
        <x:v>无发送记录、收件人、客户反馈或批准；“可直接发给客户”只描述用途。 文档级分类：**追踪辅助/生成索引；因上游未获权威确认，不达到“可追溯派生文档”权威等级**。</x:v>
      </x:c>
      <x:c r="L17" s="34" t="str">
        <x:v>Git 在 `ecd0fd8...`（2026-07-15 12:58:05+08:00）加入，描述该目录为面向客户讨论的交付物集合。 明确 R01-13 是 Markdown 源稿，R01-14 是 Pandoc 生成的 Word，R01-15 是系统边界图，并给出可重复生成命令。这证明包装/派生关系，不证明 R01-14 与当前 R01-13 字节仍完全一致。</x:v>
      </x:c>
      <x:c r="M17" s="52" t="str">
        <x:v>not-found</x:v>
      </x:c>
      <x:c r="N17" s="52" t="str">
        <x:v>not-found</x:v>
      </x:c>
      <x:c r="O17" s="52" t="str">
        <x:v>not-found</x:v>
      </x:c>
      <x:c r="P17" s="52" t="str">
        <x:v>not-found</x:v>
      </x:c>
      <x:c r="Q17" s="55" t="str">
        <x:v>not-approved-by-this-classification</x:v>
      </x:c>
      <x:c r="R17" s="34" t="str">
        <x:v>do-not-extract-from-this-document</x:v>
      </x:c>
      <x:c r="S17" s="34" t="str">
        <x:v>不提取需求；保留为 R01-13/14/15 三者关系证据。; detailed evidence gaps and any conflict candidates: R01-customer-project-source-materials.md section R01-16</x:v>
      </x:c>
      <x:c r="T17" s="35" t="str">
        <x:v>R01-customer-project-source-materials.md#R01-16</x:v>
      </x:c>
    </x:row>
    <x:row r="18" ht="48" customHeight="1">
      <x:c r="A18" s="44" t="str">
        <x:v>R01-17</x:v>
      </x:c>
      <x:c r="B18" s="45" t="str">
        <x:v>R01</x:v>
      </x:c>
      <x:c r="C18" s="34" t="str">
        <x:v>requirement-documents/简易需求文档.md</x:v>
      </x:c>
      <x:c r="D18" s="49" t="str">
        <x:v>058ada6be83bb9f97adb481880b424dd77859f18a819f2d92df39ffc5838cd50</x:v>
      </x:c>
      <x:c r="E18" s="40" t="n">
        <x:v>15944</x:v>
      </x:c>
      <x:c r="F18" s="34" t="str">
        <x:v>untracked</x:v>
      </x:c>
      <x:c r="G18" s="34" t="str">
        <x:v>tracked-clean</x:v>
      </x:c>
      <x:c r="H18" s="34" t="str">
        <x:v>candidate-source</x:v>
      </x:c>
      <x:c r="I18" s="34" t="str">
        <x:v>来源未知的内部早期/简化需求草稿</x:v>
      </x:c>
      <x:c r="J18" s="34" t="str">
        <x:v>来源未知的内部早期/简化需求草稿</x:v>
      </x:c>
      <x:c r="K18" s="34" t="str">
        <x:v>无。文中“由供应商/IT/开发确认”“待确认”和“现场如需特批”是未来条件，不是已经完成的批准。 缺与项目协议/客户沟通的逐条来源链、版本标记、变更理由和批准。文档级分类：**来源未知的内部早期/简化需求草稿**。</x:v>
      </x:c>
      <x:c r="L18" s="34" t="str">
        <x:v>标题“8005 多仓位 AGV”，注释说明 8005 是公司项目编号；正文无作者、成文日期、来源清单或批准记录。Git 在 `96eb203...`（2026-07-13）加入，`493ac5a...`（2026-07-31）修改。 与 R01-10/11 的 3 台、300E、8 仓和项目范围重叠，与 R01-19 的角色/场景互引；未证明从协议逐字转换。它与 R01-04/05/R01-13 不是重复且存在候选冲突：任务去重写 `product_lot + machine_no + finish_time` 或事务 ID，而 R01-04/05 写 `TASK_TYPE + SUBLOT`；第 6.5/7.1/7.5 含 MES 完工回写，而 R01-04/05/R01-13 明确当前阶段只读 MES。</x:v>
      </x:c>
      <x:c r="M18" s="52" t="str">
        <x:v>not-found</x:v>
      </x:c>
      <x:c r="N18" s="52" t="str">
        <x:v>not-found</x:v>
      </x:c>
      <x:c r="O18" s="52" t="str">
        <x:v>not-found</x:v>
      </x:c>
      <x:c r="P18" s="52" t="str">
        <x:v>not-found</x:v>
      </x:c>
      <x:c r="Q18" s="55" t="str">
        <x:v>not-approved-by-this-classification</x:v>
      </x:c>
      <x:c r="R18" s="34" t="str">
        <x:v>candidate-only-after-atomic-decomposition-evidence-review-and-explicit-approval</x:v>
      </x:c>
      <x:c r="S18" s="34" t="str">
        <x:v>第 2 节六场景、第 3～4 节设备/搬运参数、第 5 节流程、第 6 节功能、第 7 节接口和第 8 节异常安全逐项拆分；优先标记幂等键、MES 回写、场景枚举、仓位状态、RIOT/IO 协议为冲突扫描候选。; detailed evidence gaps and any conflict candidates: R01-customer-project-source-materials.md section R01-17</x:v>
      </x:c>
      <x:c r="T18" s="35" t="str">
        <x:v>R01-customer-project-source-materials.md#R01-17</x:v>
      </x:c>
    </x:row>
    <x:row r="19" ht="48" customHeight="1">
      <x:c r="A19" s="44" t="str">
        <x:v>R01-18</x:v>
      </x:c>
      <x:c r="B19" s="45" t="str">
        <x:v>R01</x:v>
      </x:c>
      <x:c r="C19" s="34" t="str">
        <x:v>requirement-documents/FR的可能来源.md</x:v>
      </x:c>
      <x:c r="D19" s="49" t="str">
        <x:v>1ef3ae709a2218fe25e25e9966d918c36539d07e3f3a937c83def2d5a434bc59</x:v>
      </x:c>
      <x:c r="E19" s="40" t="n">
        <x:v>10601</x:v>
      </x:c>
      <x:c r="F19" s="34" t="str">
        <x:v>untracked</x:v>
      </x:c>
      <x:c r="G19" s="34" t="str">
        <x:v>tracked-clean</x:v>
      </x:c>
      <x:c r="H19" s="34" t="str">
        <x:v>candidate-source</x:v>
      </x:c>
      <x:c r="I19" s="34" t="str">
        <x:v>来源未知的通用分析方法笔记，不是项目需求源</x:v>
      </x:c>
      <x:c r="J19" s="34" t="str">
        <x:v>来源未知的通用分析方法笔记，不是项目需求源</x:v>
      </x:c>
      <x:c r="K19" s="34" t="str">
        <x:v>无。问答语气和“你之前考虑的”可能让人怀疑来自 AI/对话，但没有可核查生成记录，故不能擅自分类为“AI 生成或修改”。 缺作者/来源、适用目的、引用许可和任何项目批准。文档级分类：**来源未知的通用分析方法笔记，不是项目需求源**。</x:v>
      </x:c>
      <x:c r="L19" s="34" t="str">
        <x:v>以“那如果系统内部的 FR 应该从哪里提取出来”开头，是关于从业务规则、状态、数据、接口、异常、运维等推导 FR 的说明/问答式笔记；无作者、日期、引用、项目标识或批准记录。Git 在 `ecd0fd8...`（2026-07-15）一次加入。 单一 Git 版本；示例主要是柜格/退料/发料，末尾明确部分 FR 属于分析人员按正确性、完整性、恢复需要推导的派生需求。没有与 R01 其它项目文档建立版本或转换链。</x:v>
      </x:c>
      <x:c r="M19" s="52" t="str">
        <x:v>not-found</x:v>
      </x:c>
      <x:c r="N19" s="52" t="str">
        <x:v>not-found</x:v>
      </x:c>
      <x:c r="O19" s="52" t="str">
        <x:v>not-found</x:v>
      </x:c>
      <x:c r="P19" s="52" t="str">
        <x:v>not-found</x:v>
      </x:c>
      <x:c r="Q19" s="55" t="str">
        <x:v>not-approved-by-this-classification</x:v>
      </x:c>
      <x:c r="R19" s="34" t="str">
        <x:v>do-not-extract-from-this-document</x:v>
      </x:c>
      <x:c r="S19" s="34" t="str">
        <x:v>不提取示例为需求；仅把“FR 来源类别”和“需求/设计区分”作为后续分类方法提示，任何实际派生 FR 必须回到所属业务规则/UC/接口证据并单独确认。; detailed evidence gaps and any conflict candidates: R01-customer-project-source-materials.md section R01-18</x:v>
      </x:c>
      <x:c r="T19" s="35" t="str">
        <x:v>R01-customer-project-source-materials.md#R01-18</x:v>
      </x:c>
    </x:row>
    <x:row r="20" ht="48" customHeight="1">
      <x:c r="A20" s="44" t="str">
        <x:v>R01-19</x:v>
      </x:c>
      <x:c r="B20" s="45" t="str">
        <x:v>R01</x:v>
      </x:c>
      <x:c r="C20" s="34" t="str">
        <x:v>requirement-documents/user case.md</x:v>
      </x:c>
      <x:c r="D20" s="49" t="str">
        <x:v>9d682f471346f5fa2b75bad68003f984ad8816b55110df0c35711c92a2f35da5</x:v>
      </x:c>
      <x:c r="E20" s="40" t="n">
        <x:v>3351</x:v>
      </x:c>
      <x:c r="F20" s="34" t="str">
        <x:v>tracked-clean</x:v>
      </x:c>
      <x:c r="G20" s="34" t="str">
        <x:v>tracked-clean</x:v>
      </x:c>
      <x:c r="H20" s="34" t="str">
        <x:v>candidate-source</x:v>
      </x:c>
      <x:c r="I20" s="34" t="str">
        <x:v>来源未知的未完成内部草稿</x:v>
      </x:c>
      <x:c r="J20" s="34" t="str">
        <x:v>来源未知的未完成内部草稿</x:v>
      </x:c>
      <x:c r="K20" s="34" t="str">
        <x:v>明确含“待确认问题”，没有具名批准；无法证明角色表或用例适用于当前项目版本。 文档级分类：**来源未知的未完成内部草稿**。</x:v>
      </x:c>
      <x:c r="L20" s="34" t="str">
        <x:v>Git 在 `96eb203...`（2026-07-13）加入；正文没有作者、形成日期、来源交接或批准记录。 引用 `简易需求文档.md` 和 `01-vision-scope.md`；Actor 表与 R01-13 有重叠，但 UC-01 流程在第 47 行中断，维护类用例明确“待补充”，不是完成版或可证明的来源副本。</x:v>
      </x:c>
      <x:c r="M20" s="52" t="str">
        <x:v>not-found</x:v>
      </x:c>
      <x:c r="N20" s="52" t="str">
        <x:v>not-found</x:v>
      </x:c>
      <x:c r="O20" s="52" t="str">
        <x:v>not-found</x:v>
      </x:c>
      <x:c r="P20" s="52" t="str">
        <x:v>not-found</x:v>
      </x:c>
      <x:c r="Q20" s="55" t="str">
        <x:v>not-approved-by-this-classification</x:v>
      </x:c>
      <x:c r="R20" s="34" t="str">
        <x:v>candidate-only-after-atomic-decomposition-evidence-review-and-explicit-approval</x:v>
      </x:c>
      <x:c r="S20" s="34" t="str">
        <x:v>角色 R-01～R-13、角色兼任问题、UC-01 的已写步骤及六类场景映射分别拆分；不得把缺失步骤补全或把编号相同视为与 R01-13 自动相同。; detailed evidence gaps and any conflict candidates: R01-customer-project-source-materials.md section R01-19</x:v>
      </x:c>
      <x:c r="T20" s="35" t="str">
        <x:v>R01-customer-project-source-materials.md#R01-19</x:v>
      </x:c>
    </x:row>
    <x:row r="21" ht="48" customHeight="1">
      <x:c r="A21" s="44" t="str">
        <x:v>R02-01</x:v>
      </x:c>
      <x:c r="B21" s="45" t="str">
        <x:v>R02</x:v>
      </x:c>
      <x:c r="C21" s="34" t="str">
        <x:v>requirement-documents/_templates/template-business-rule.md</x:v>
      </x:c>
      <x:c r="D21" s="49" t="str">
        <x:v>ba14637d8a90c445579985f701599aa915186a57311c2ab642802c138d7567b4</x:v>
      </x:c>
      <x:c r="E21" s="40" t="n">
        <x:v>702</x:v>
      </x:c>
      <x:c r="F21" s="34" t="str">
        <x:v>tracked-clean</x:v>
      </x:c>
      <x:c r="G21" s="34" t="str">
        <x:v>tracked-clean</x:v>
      </x:c>
      <x:c r="H21" s="34" t="str">
        <x:v>template-or-index</x:v>
      </x:c>
      <x:c r="I21" s="34" t="str">
        <x:v>纯记录结构/模板</x:v>
      </x:c>
      <x:c r="J21" s="34" t="str">
        <x:v>纯记录结构/模板</x:v>
      </x:c>
      <x:c r="K21" s="34" t="str">
        <x:v>**纯记录结构/模板**；可继续用于建档，不提取需求。后续对实例逐条核实 Source。</x:v>
      </x:c>
      <x:c r="L21" s="34" t="str">
        <x:v>[template-business-rule.md](../../../../requirement-documents/_templates/template-business-rule.md) `ba14637d8a90`；`96` 新增; Templater 脚本只生成 BR 编号、`draft` 字段与 Rule/Rationale/Source/Related 空节；全为 `TBD`</x:v>
      </x:c>
      <x:c r="M21" s="52" t="str">
        <x:v>not-found</x:v>
      </x:c>
      <x:c r="N21" s="52" t="str">
        <x:v>not-found</x:v>
      </x:c>
      <x:c r="O21" s="52" t="str">
        <x:v>not-found</x:v>
      </x:c>
      <x:c r="P21" s="52" t="str">
        <x:v>not-found</x:v>
      </x:c>
      <x:c r="Q21" s="55" t="str">
        <x:v>not-approved-by-this-classification</x:v>
      </x:c>
      <x:c r="R21" s="34" t="str">
        <x:v>do-not-extract-from-this-document</x:v>
      </x:c>
      <x:c r="S21" s="34" t="str">
        <x:v>无；不存在可批准的实例内容; **纯记录结构/模板**；可继续用于建档，不提取需求。后续对实例逐条核实 Source。; detailed record: R02-requirements-framing-and-business-rules.md matrix row 01</x:v>
      </x:c>
      <x:c r="T21" s="35" t="str">
        <x:v>R02-requirements-framing-and-business-rules.md:21</x:v>
      </x:c>
    </x:row>
    <x:row r="22" ht="48" customHeight="1">
      <x:c r="A22" s="44" t="str">
        <x:v>R02-02</x:v>
      </x:c>
      <x:c r="B22" s="45" t="str">
        <x:v>R02</x:v>
      </x:c>
      <x:c r="C22" s="34" t="str">
        <x:v>requirement-documents/_templates/template-decision-record.md</x:v>
      </x:c>
      <x:c r="D22" s="49" t="str">
        <x:v>ba0310a4996e944c2fddc65f64001a57fc05e6a955f978661fcd85fa376334c5</x:v>
      </x:c>
      <x:c r="E22" s="40" t="n">
        <x:v>666</x:v>
      </x:c>
      <x:c r="F22" s="34" t="str">
        <x:v>tracked-clean</x:v>
      </x:c>
      <x:c r="G22" s="34" t="str">
        <x:v>tracked-clean</x:v>
      </x:c>
      <x:c r="H22" s="34" t="str">
        <x:v>template-or-index</x:v>
      </x:c>
      <x:c r="I22" s="34" t="str">
        <x:v>纯记录结构/模板</x:v>
      </x:c>
      <x:c r="J22" s="34" t="str">
        <x:v>纯记录结构/模板</x:v>
      </x:c>
      <x:c r="K22" s="34" t="str">
        <x:v>**纯记录结构/模板**；不得从 `decided` 反推批准。</x:v>
      </x:c>
      <x:c r="L22" s="34" t="str">
        <x:v>[template-decision-record.md](../../../../requirement-documents/_templates/template-decision-record.md) `ba0310a4996e`；`96`; 决策记录空壳；默认 `status: decided` 是模板字段，不是决策行为证据</x:v>
      </x:c>
      <x:c r="M22" s="52" t="str">
        <x:v>not-found</x:v>
      </x:c>
      <x:c r="N22" s="52" t="str">
        <x:v>not-found</x:v>
      </x:c>
      <x:c r="O22" s="52" t="str">
        <x:v>not-found</x:v>
      </x:c>
      <x:c r="P22" s="52" t="str">
        <x:v>not-found</x:v>
      </x:c>
      <x:c r="Q22" s="55" t="str">
        <x:v>not-approved-by-this-classification</x:v>
      </x:c>
      <x:c r="R22" s="34" t="str">
        <x:v>do-not-extract-from-this-document</x:v>
      </x:c>
      <x:c r="S22" s="34" t="str">
        <x:v>无；默认状态未绑定任何人/日期/版本; **纯记录结构/模板**；不得从 `decided` 反推批准。; detailed record: R02-requirements-framing-and-business-rules.md matrix row 02</x:v>
      </x:c>
      <x:c r="T22" s="35" t="str">
        <x:v>R02-requirements-framing-and-business-rules.md:22</x:v>
      </x:c>
    </x:row>
    <x:row r="23" ht="48" customHeight="1">
      <x:c r="A23" s="44" t="str">
        <x:v>R02-03</x:v>
      </x:c>
      <x:c r="B23" s="45" t="str">
        <x:v>R02</x:v>
      </x:c>
      <x:c r="C23" s="34" t="str">
        <x:v>requirement-documents/_templates/template-functional-requirement.md</x:v>
      </x:c>
      <x:c r="D23" s="49" t="str">
        <x:v>ba4f4f17fd43186a730af1fdb94dc8585cba59928ca73fd9dc92e75e99cee5bd</x:v>
      </x:c>
      <x:c r="E23" s="40" t="n">
        <x:v>2002</x:v>
      </x:c>
      <x:c r="F23" s="34" t="str">
        <x:v>tracked-clean</x:v>
      </x:c>
      <x:c r="G23" s="34" t="str">
        <x:v>tracked-clean</x:v>
      </x:c>
      <x:c r="H23" s="34" t="str">
        <x:v>template-or-index</x:v>
      </x:c>
      <x:c r="I23" s="34" t="str">
        <x:v>纯记录结构/模板</x:v>
      </x:c>
      <x:c r="J23" s="34" t="str">
        <x:v>纯记录结构/模板</x:v>
      </x:c>
      <x:c r="K23" s="34" t="str">
        <x:v>**纯记录结构/模板**；只定义粒度与追溯字段，不表达 FR。</x:v>
      </x:c>
      <x:c r="L23" s="34" t="str">
        <x:v>[template-functional-requirement.md](../../../../requirement-documents/_templates/template-functional-requirement.md) `ba4f4f17fd43`；`96→ec`; 扩充为含 Origin、Given/When/Then、Verification 的 FR 记录形式；内容仍为 `TBD`</x:v>
      </x:c>
      <x:c r="M23" s="52" t="str">
        <x:v>not-found</x:v>
      </x:c>
      <x:c r="N23" s="52" t="str">
        <x:v>not-found</x:v>
      </x:c>
      <x:c r="O23" s="52" t="str">
        <x:v>not-found</x:v>
      </x:c>
      <x:c r="P23" s="52" t="str">
        <x:v>not-found</x:v>
      </x:c>
      <x:c r="Q23" s="55" t="str">
        <x:v>not-approved-by-this-classification</x:v>
      </x:c>
      <x:c r="R23" s="34" t="str">
        <x:v>do-not-extract-from-this-document</x:v>
      </x:c>
      <x:c r="S23" s="34" t="str">
        <x:v>无; **纯记录结构/模板**；只定义粒度与追溯字段，不表达 FR。; detailed record: R02-requirements-framing-and-business-rules.md matrix row 03</x:v>
      </x:c>
      <x:c r="T23" s="35" t="str">
        <x:v>R02-requirements-framing-and-business-rules.md:23</x:v>
      </x:c>
    </x:row>
    <x:row r="24" ht="48" customHeight="1">
      <x:c r="A24" s="44" t="str">
        <x:v>R02-04</x:v>
      </x:c>
      <x:c r="B24" s="45" t="str">
        <x:v>R02</x:v>
      </x:c>
      <x:c r="C24" s="34" t="str">
        <x:v>requirement-documents/_templates/template-non-functional-requirement.md</x:v>
      </x:c>
      <x:c r="D24" s="49" t="str">
        <x:v>c53a8577b8f8b37a100430f522e4693b59aa6398c64e9f80ac97078b7b415ec3</x:v>
      </x:c>
      <x:c r="E24" s="40" t="n">
        <x:v>2432</x:v>
      </x:c>
      <x:c r="F24" s="34" t="str">
        <x:v>tracked-clean</x:v>
      </x:c>
      <x:c r="G24" s="34" t="str">
        <x:v>tracked-clean</x:v>
      </x:c>
      <x:c r="H24" s="34" t="str">
        <x:v>template-or-index</x:v>
      </x:c>
      <x:c r="I24" s="34" t="str">
        <x:v>纯记录结构/模板</x:v>
      </x:c>
      <x:c r="J24" s="34" t="str">
        <x:v>纯记录结构/模板</x:v>
      </x:c>
      <x:c r="K24" s="34" t="str">
        <x:v>**纯记录结构/模板**；不独立生成质量目标。</x:v>
      </x:c>
      <x:c r="L24" s="34" t="str">
        <x:v>[template-non-functional-requirement.md](../../../../requirement-documents/_templates/template-non-functional-requirement.md) `c53a8577b8f8`；`ec`; 定义 NFR category、metric、fit criterion、measurement/origin 字段；全为占位</x:v>
      </x:c>
      <x:c r="M24" s="52" t="str">
        <x:v>not-found</x:v>
      </x:c>
      <x:c r="N24" s="52" t="str">
        <x:v>not-found</x:v>
      </x:c>
      <x:c r="O24" s="52" t="str">
        <x:v>not-found</x:v>
      </x:c>
      <x:c r="P24" s="52" t="str">
        <x:v>not-found</x:v>
      </x:c>
      <x:c r="Q24" s="55" t="str">
        <x:v>not-approved-by-this-classification</x:v>
      </x:c>
      <x:c r="R24" s="34" t="str">
        <x:v>do-not-extract-from-this-document</x:v>
      </x:c>
      <x:c r="S24" s="34" t="str">
        <x:v>无; **纯记录结构/模板**；不独立生成质量目标。; detailed record: R02-requirements-framing-and-business-rules.md matrix row 04</x:v>
      </x:c>
      <x:c r="T24" s="35" t="str">
        <x:v>R02-requirements-framing-and-business-rules.md:24</x:v>
      </x:c>
    </x:row>
    <x:row r="25" ht="48" customHeight="1">
      <x:c r="A25" s="44" t="str">
        <x:v>R02-05</x:v>
      </x:c>
      <x:c r="B25" s="45" t="str">
        <x:v>R02</x:v>
      </x:c>
      <x:c r="C25" s="34" t="str">
        <x:v>requirement-documents/_templates/template-test-case.md</x:v>
      </x:c>
      <x:c r="D25" s="49" t="str">
        <x:v>640b7c2d7e8f4b848cd2766b9307cddd8a9fe13d88c1aaa827f89c24513ae02b</x:v>
      </x:c>
      <x:c r="E25" s="40" t="n">
        <x:v>698</x:v>
      </x:c>
      <x:c r="F25" s="34" t="str">
        <x:v>tracked-clean</x:v>
      </x:c>
      <x:c r="G25" s="34" t="str">
        <x:v>tracked-clean</x:v>
      </x:c>
      <x:c r="H25" s="34" t="str">
        <x:v>template-or-index</x:v>
      </x:c>
      <x:c r="I25" s="34" t="str">
        <x:v>纯记录结构/模板</x:v>
      </x:c>
      <x:c r="J25" s="34" t="str">
        <x:v>纯记录结构/模板</x:v>
      </x:c>
      <x:c r="K25" s="34" t="str">
        <x:v>**纯记录结构/模板**；不是验收结果或需求。</x:v>
      </x:c>
      <x:c r="L25" s="34" t="str">
        <x:v>[template-test-case.md](../../../../requirement-documents/_templates/template-test-case.md) `640b7c2d7e8f`；`96`; 定义 Preconditions/Steps/Expected/Verifies 空结构</x:v>
      </x:c>
      <x:c r="M25" s="52" t="str">
        <x:v>not-found</x:v>
      </x:c>
      <x:c r="N25" s="52" t="str">
        <x:v>not-found</x:v>
      </x:c>
      <x:c r="O25" s="52" t="str">
        <x:v>not-found</x:v>
      </x:c>
      <x:c r="P25" s="52" t="str">
        <x:v>not-found</x:v>
      </x:c>
      <x:c r="Q25" s="55" t="str">
        <x:v>not-approved-by-this-classification</x:v>
      </x:c>
      <x:c r="R25" s="34" t="str">
        <x:v>do-not-extract-from-this-document</x:v>
      </x:c>
      <x:c r="S25" s="34" t="str">
        <x:v>无; **纯记录结构/模板**；不是验收结果或需求。; detailed record: R02-requirements-framing-and-business-rules.md matrix row 05</x:v>
      </x:c>
      <x:c r="T25" s="35" t="str">
        <x:v>R02-requirements-framing-and-business-rules.md:25</x:v>
      </x:c>
    </x:row>
    <x:row r="26" ht="48" customHeight="1">
      <x:c r="A26" s="44" t="str">
        <x:v>R02-06</x:v>
      </x:c>
      <x:c r="B26" s="45" t="str">
        <x:v>R02</x:v>
      </x:c>
      <x:c r="C26" s="34" t="str">
        <x:v>requirement-documents/_templates/template-use-case.md</x:v>
      </x:c>
      <x:c r="D26" s="49" t="str">
        <x:v>3b2dac1c9c77c3f8181503348c48f3ee421e2939c887ebc4b500560b89ab11a1</x:v>
      </x:c>
      <x:c r="E26" s="40" t="n">
        <x:v>1211</x:v>
      </x:c>
      <x:c r="F26" s="34" t="str">
        <x:v>tracked-clean</x:v>
      </x:c>
      <x:c r="G26" s="34" t="str">
        <x:v>tracked-clean</x:v>
      </x:c>
      <x:c r="H26" s="34" t="str">
        <x:v>template-or-index</x:v>
      </x:c>
      <x:c r="I26" s="34" t="str">
        <x:v>纯记录结构/模板</x:v>
      </x:c>
      <x:c r="J26" s="34" t="str">
        <x:v>纯记录结构/模板</x:v>
      </x:c>
      <x:c r="K26" s="34" t="str">
        <x:v>**纯记录结构/模板**；不独立表达场景要求。</x:v>
      </x:c>
      <x:c r="L26" s="34" t="str">
        <x:v>[template-use-case.md](../../../../requirement-documents/_templates/template-use-case.md) `3b2dac1c9c77`；`96`; 定义 Actor/Flow/Assumption 等用例空结构</x:v>
      </x:c>
      <x:c r="M26" s="52" t="str">
        <x:v>not-found</x:v>
      </x:c>
      <x:c r="N26" s="52" t="str">
        <x:v>not-found</x:v>
      </x:c>
      <x:c r="O26" s="52" t="str">
        <x:v>not-found</x:v>
      </x:c>
      <x:c r="P26" s="52" t="str">
        <x:v>not-found</x:v>
      </x:c>
      <x:c r="Q26" s="55" t="str">
        <x:v>not-approved-by-this-classification</x:v>
      </x:c>
      <x:c r="R26" s="34" t="str">
        <x:v>do-not-extract-from-this-document</x:v>
      </x:c>
      <x:c r="S26" s="34" t="str">
        <x:v>无; **纯记录结构/模板**；不独立表达场景要求。; detailed record: R02-requirements-framing-and-business-rules.md matrix row 06</x:v>
      </x:c>
      <x:c r="T26" s="35" t="str">
        <x:v>R02-requirements-framing-and-business-rules.md:26</x:v>
      </x:c>
    </x:row>
    <x:row r="27" ht="48" customHeight="1">
      <x:c r="A27" s="44" t="str">
        <x:v>R02-07</x:v>
      </x:c>
      <x:c r="B27" s="45" t="str">
        <x:v>R02</x:v>
      </x:c>
      <x:c r="C27" s="34" t="str">
        <x:v>requirement-documents/00-vision/system-context.md</x:v>
      </x:c>
      <x:c r="D27" s="49" t="str">
        <x:v>60e2206dc80d105c92db91f519b4ffb7df50cadcca9340eb9481bb3777aeee65</x:v>
      </x:c>
      <x:c r="E27" s="40" t="n">
        <x:v>7311</x:v>
      </x:c>
      <x:c r="F27" s="34" t="str">
        <x:v>tracked-clean</x:v>
      </x:c>
      <x:c r="G27" s="34" t="str">
        <x:v>tracked-clean</x:v>
      </x:c>
      <x:c r="H27" s="34" t="str">
        <x:v>candidate-requirement</x:v>
      </x:c>
      <x:c r="I27" s="34" t="str">
        <x:v>来源未知的内部派生边界综合</x:v>
      </x:c>
      <x:c r="J27" s="34" t="str">
        <x:v>来源未知的内部派生边界综合</x:v>
      </x:c>
      <x:c r="K27" s="34" t="str">
        <x:v>**来源未知的内部派生边界综合**；对 8005 系统边界有高相关性，但必须按外部实体、接口方向、当前/未来范围拆分并批准。</x:v>
      </x:c>
      <x:c r="L27" s="34" t="str">
        <x:v>[system-context.md](../../../../requirement-documents/00-vision/system-context.md) `60e2206dc80d`；`0b→ec`; 无 Source 节；以内部 wikilink 综合 stakeholder、UC、BR 和步骤目录，同时区分当前 MES 只读与未来回写 TBD</x:v>
      </x:c>
      <x:c r="M27" s="52" t="str">
        <x:v>not-found</x:v>
      </x:c>
      <x:c r="N27" s="52" t="str">
        <x:v>not-found</x:v>
      </x:c>
      <x:c r="O27" s="52" t="str">
        <x:v>not-found</x:v>
      </x:c>
      <x:c r="P27" s="52" t="str">
        <x:v>not-found</x:v>
      </x:c>
      <x:c r="Q27" s="55" t="str">
        <x:v>not-approved-by-this-classification</x:v>
      </x:c>
      <x:c r="R27" s="34" t="str">
        <x:v>candidate-only-after-atomic-decomposition-evidence-review-and-explicit-approval</x:v>
      </x:c>
      <x:c r="S27" s="34" t="str">
        <x:v>无；没有图/文本版本的具名边界批准; **来源未知的内部派生边界综合**；对 8005 系统边界有高相关性，但必须按外部实体、接口方向、当前/未来范围拆分并批准。; detailed record: R02-requirements-framing-and-business-rules.md matrix row 07</x:v>
      </x:c>
      <x:c r="T27" s="35" t="str">
        <x:v>R02-requirements-framing-and-business-rules.md:27</x:v>
      </x:c>
    </x:row>
    <x:row r="28" ht="48" customHeight="1">
      <x:c r="A28" s="44" t="str">
        <x:v>R02-08</x:v>
      </x:c>
      <x:c r="B28" s="45" t="str">
        <x:v>R02</x:v>
      </x:c>
      <x:c r="C28" s="34" t="str">
        <x:v>requirement-documents/00-vision/vision-and-scope.md</x:v>
      </x:c>
      <x:c r="D28" s="49" t="str">
        <x:v>c5dbdd400b9952e886ab2ef3e12f1ddcfafb7fb90175e9e366973d82f6912070</x:v>
      </x:c>
      <x:c r="E28" s="40" t="n">
        <x:v>11377</x:v>
      </x:c>
      <x:c r="F28" s="34" t="str">
        <x:v>tracked-clean</x:v>
      </x:c>
      <x:c r="G28" s="34" t="str">
        <x:v>tracked-clean</x:v>
      </x:c>
      <x:c r="H28" s="34" t="str">
        <x:v>candidate-requirement</x:v>
      </x:c>
      <x:c r="I28" s="34" t="str">
        <x:v>来源未知的混合愿景草稿</x:v>
      </x:c>
      <x:c r="J28" s="34" t="str">
        <x:v>来源未知的混合愿景草稿</x:v>
      </x:c>
      <x:c r="K28" s="34" t="str">
        <x:v>**来源未知的混合愿景草稿**；逐条拆背景、目标、成功指标、范围/排除、依赖与优先级，数值指标优先要求原始来源与测量口径。</x:v>
      </x:c>
      <x:c r="L28" s="34" t="str">
        <x:v>[vision-and-scope.md](../../../../requirement-documents/00-vision/vision-and-scope.md) `c5dbdd400b99`；`96→0b→48→ec`; 无原始访谈/合同引用；混合背景叙述、8 个目标、98%/2%/3 分钟/10 分钟等指标、边界链接、具名干系人和内部派生优先级</x:v>
      </x:c>
      <x:c r="M28" s="52" t="str">
        <x:v>not-found</x:v>
      </x:c>
      <x:c r="N28" s="52" t="str">
        <x:v>not-found</x:v>
      </x:c>
      <x:c r="O28" s="52" t="str">
        <x:v>not-found</x:v>
      </x:c>
      <x:c r="P28" s="52" t="str">
        <x:v>not-found</x:v>
      </x:c>
      <x:c r="Q28" s="55" t="str">
        <x:v>not-approved-by-this-classification</x:v>
      </x:c>
      <x:c r="R28" s="34" t="str">
        <x:v>candidate-only-after-atomic-decomposition-evidence-review-and-explicit-approval</x:v>
      </x:c>
      <x:c r="S28" s="34" t="str">
        <x:v>无；文内人名只是 profile，无批准动作/日期/版本；初始与后续发布范围均“未定”; **来源未知的混合愿景草稿**；逐条拆背景、目标、成功指标、范围/排除、依赖与优先级，数值指标优先要求原始来源与测量口径。; detailed record: R02-requirements-framing-and-business-rules.md matrix row 08</x:v>
      </x:c>
      <x:c r="T28" s="35" t="str">
        <x:v>R02-requirements-framing-and-business-rules.md:28</x:v>
      </x:c>
    </x:row>
    <x:row r="29" ht="48" customHeight="1">
      <x:c r="A29" s="44" t="str">
        <x:v>R02-09</x:v>
      </x:c>
      <x:c r="B29" s="45" t="str">
        <x:v>R02</x:v>
      </x:c>
      <x:c r="C29" s="34" t="str">
        <x:v>requirement-documents/01-stakeholders/stakeholders-and-user-classes.md</x:v>
      </x:c>
      <x:c r="D29" s="49" t="str">
        <x:v>f8d5f0ca428fa84e6f21f6d3a43d375577b6fe3d567316f3ea9221c880894f74</x:v>
      </x:c>
      <x:c r="E29" s="40" t="n">
        <x:v>8080</x:v>
      </x:c>
      <x:c r="F29" s="34" t="str">
        <x:v>tracked-clean</x:v>
      </x:c>
      <x:c r="G29" s="34" t="str">
        <x:v>tracked-clean</x:v>
      </x:c>
      <x:c r="H29" s="34" t="str">
        <x:v>candidate-requirement</x:v>
      </x:c>
      <x:c r="I29" s="34" t="str">
        <x:v>来源未知的内部派生角色模型</x:v>
      </x:c>
      <x:c r="J29" s="34" t="str">
        <x:v>来源未知的内部派生角色模型</x:v>
      </x:c>
      <x:c r="K29" s="34" t="str">
        <x:v>**来源未知的内部派生角色模型**；按每个角色、职责、兼任、权限和二次认证规则拆分，追回部门负责人/权限矩阵。</x:v>
      </x:c>
      <x:c r="L29" s="34" t="str">
        <x:v>[stakeholders-and-user-classes.md](../../../../requirement-documents/01-stakeholders/stakeholders-and-user-classes.md) `f8d5f0ca428f`；`96→0b→48→49`; 文首自述将 vision 大类、`简易需求文档.md` 场景与后续 UC/BR 拆成 R-01…R-15；是内部角色/权限综合，不是原始花名册或授权文件</x:v>
      </x:c>
      <x:c r="M29" s="52" t="str">
        <x:v>not-found</x:v>
      </x:c>
      <x:c r="N29" s="52" t="str">
        <x:v>not-found</x:v>
      </x:c>
      <x:c r="O29" s="52" t="str">
        <x:v>not-found</x:v>
      </x:c>
      <x:c r="P29" s="52" t="str">
        <x:v>not-found</x:v>
      </x:c>
      <x:c r="Q29" s="55" t="str">
        <x:v>not-approved-by-this-classification</x:v>
      </x:c>
      <x:c r="R29" s="34" t="str">
        <x:v>candidate-only-after-atomic-decomposition-evidence-review-and-explicit-approval</x:v>
      </x:c>
      <x:c r="S29" s="34" t="str">
        <x:v>无；角色编号、兼任规则和二次认证均未绑定具名业务/安全批准；R-15 登录权限明示待确认; **来源未知的内部派生角色模型**；按每个角色、职责、兼任、权限和二次认证规则拆分，追回部门负责人/权限矩阵。; detailed record: R02-requirements-framing-and-business-rules.md matrix row 09</x:v>
      </x:c>
      <x:c r="T29" s="35" t="str">
        <x:v>R02-requirements-framing-and-business-rules.md:29</x:v>
      </x:c>
    </x:row>
    <x:row r="30" ht="48" customHeight="1">
      <x:c r="A30" s="44" t="str">
        <x:v>R02-10</x:v>
      </x:c>
      <x:c r="B30" s="45" t="str">
        <x:v>R02</x:v>
      </x:c>
      <x:c r="C30" s="34" t="str">
        <x:v>requirement-documents/02-business-rules/br-001-dispatch-task-range.md</x:v>
      </x:c>
      <x:c r="D30" s="49" t="str">
        <x:v>e90caa36f48029ea6c6f7f5129c6a11f898833154fd82daaa44ec3154e1ceb8b</x:v>
      </x:c>
      <x:c r="E30" s="40" t="n">
        <x:v>7160</x:v>
      </x:c>
      <x:c r="F30" s="34" t="str">
        <x:v>tracked-clean</x:v>
      </x:c>
      <x:c r="G30" s="34" t="str">
        <x:v>tracked-clean</x:v>
      </x:c>
      <x:c r="H30" s="34" t="str">
        <x:v>candidate-requirement</x:v>
      </x:c>
      <x:c r="I30" s="34" t="str">
        <x:v>部分可追至未批准内部上游的派生 BR</x:v>
      </x:c>
      <x:c r="J30" s="34" t="str">
        <x:v>部分可追至未批准内部上游的派生 BR</x:v>
      </x:c>
      <x:c r="K30" s="34" t="str">
        <x:v>**部分可追至未批准内部上游的派生 BR**；拆分任务范围、复合停靠、等待、车载可见性和各 TBD。</x:v>
      </x:c>
      <x:c r="L30" s="34" t="str">
        <x:v>[BR-001](../../../../requirement-documents/02-business-rules/br-001-dispatch-task-range.md) `e90caa36f480`；`96→0b→ec→49`; Source 将 2026-07-14 复合停靠等追到 MES 模型第 8 节，早期部分仅写“客户现场访谈、AGV/RIOT 调度方案”，无访谈原件</x:v>
      </x:c>
      <x:c r="M30" s="52" t="str">
        <x:v>not-found</x:v>
      </x:c>
      <x:c r="N30" s="52" t="str">
        <x:v>not-found</x:v>
      </x:c>
      <x:c r="O30" s="52" t="str">
        <x:v>not-found</x:v>
      </x:c>
      <x:c r="P30" s="52" t="str">
        <x:v>not-found</x:v>
      </x:c>
      <x:c r="Q30" s="55" t="str">
        <x:v>not-approved-by-this-classification</x:v>
      </x:c>
      <x:c r="R30" s="34" t="str">
        <x:v>candidate-only-after-atomic-decomposition-evidence-review-and-explicit-approval</x:v>
      </x:c>
      <x:c r="S30" s="34" t="str">
        <x:v>无；`status: draft`，“已确认”小标未绑定人/记录/版本; **部分可追至未批准内部上游的派生 BR**；拆分任务范围、复合停靠、等待、车载可见性和各 TBD。; detailed record: R02-requirements-framing-and-business-rules.md matrix row 10</x:v>
      </x:c>
      <x:c r="T30" s="35" t="str">
        <x:v>R02-requirements-framing-and-business-rules.md:30</x:v>
      </x:c>
    </x:row>
    <x:row r="31" ht="48" customHeight="1">
      <x:c r="A31" s="44" t="str">
        <x:v>R02-11</x:v>
      </x:c>
      <x:c r="B31" s="45" t="str">
        <x:v>R02</x:v>
      </x:c>
      <x:c r="C31" s="34" t="str">
        <x:v>requirement-documents/02-business-rules/br-002-agv-allocation-eligibility.md</x:v>
      </x:c>
      <x:c r="D31" s="49" t="str">
        <x:v>dd3acb8484ed4d26397e43671c7f5c2af1e3cee32657ebeab0deaba861aa3045</x:v>
      </x:c>
      <x:c r="E31" s="40" t="n">
        <x:v>8043</x:v>
      </x:c>
      <x:c r="F31" s="34" t="str">
        <x:v>tracked-clean</x:v>
      </x:c>
      <x:c r="G31" s="34" t="str">
        <x:v>tracked-clean</x:v>
      </x:c>
      <x:c r="H31" s="34" t="str">
        <x:v>candidate-requirement</x:v>
      </x:c>
      <x:c r="I31" s="34" t="str">
        <x:v>来源未知的内部综合 BR</x:v>
      </x:c>
      <x:c r="J31" s="34" t="str">
        <x:v>来源未知的内部综合 BR</x:v>
      </x:c>
      <x:c r="K31" s="34" t="str">
        <x:v>**来源未知的内部综合 BR**；将硬性可分配条件与软排序因子分开原子化。</x:v>
      </x:c>
      <x:c r="L31" s="34" t="str">
        <x:v>[BR-002](../../../../requirement-documents/02-business-rules/br-002-agv-allocation-eligibility.md) `dd3acb8484ed`；`0b→48→ec`; Source 只有“2026-07-13 需求确认”摘要，另由 BR-014/015 派生优先级/路径排序</x:v>
      </x:c>
      <x:c r="M31" s="52" t="str">
        <x:v>not-found</x:v>
      </x:c>
      <x:c r="N31" s="52" t="str">
        <x:v>not-found</x:v>
      </x:c>
      <x:c r="O31" s="52" t="str">
        <x:v>not-found</x:v>
      </x:c>
      <x:c r="P31" s="52" t="str">
        <x:v>not-found</x:v>
      </x:c>
      <x:c r="Q31" s="55" t="str">
        <x:v>not-approved-by-this-classification</x:v>
      </x:c>
      <x:c r="R31" s="34" t="str">
        <x:v>candidate-only-after-atomic-decomposition-evidence-review-and-explicit-approval</x:v>
      </x:c>
      <x:c r="S31" s="34" t="str">
        <x:v>无；无具名确认记录或适用车型/环境范围; **来源未知的内部综合 BR**；将硬性可分配条件与软排序因子分开原子化。; detailed record: R02-requirements-framing-and-business-rules.md matrix row 11</x:v>
      </x:c>
      <x:c r="T31" s="35" t="str">
        <x:v>R02-requirements-framing-and-business-rules.md:31</x:v>
      </x:c>
    </x:row>
    <x:row r="32" ht="48" customHeight="1">
      <x:c r="A32" s="44" t="str">
        <x:v>R02-12</x:v>
      </x:c>
      <x:c r="B32" s="45" t="str">
        <x:v>R02</x:v>
      </x:c>
      <x:c r="C32" s="34" t="str">
        <x:v>requirement-documents/02-business-rules/br-003-area-station-mapping.md</x:v>
      </x:c>
      <x:c r="D32" s="49" t="str">
        <x:v>7b25e92d5e6617801e0b477479bcfe8c4371d6806049aa00e7ceca0c09b4b70e</x:v>
      </x:c>
      <x:c r="E32" s="40" t="n">
        <x:v>11034</x:v>
      </x:c>
      <x:c r="F32" s="34" t="str">
        <x:v>tracked-clean</x:v>
      </x:c>
      <x:c r="G32" s="34" t="str">
        <x:v>tracked-clean</x:v>
      </x:c>
      <x:c r="H32" s="34" t="str">
        <x:v>candidate-requirement</x:v>
      </x:c>
      <x:c r="I32" s="34" t="str">
        <x:v>来源未知的内部建模 BR</x:v>
      </x:c>
      <x:c r="J32" s="34" t="str">
        <x:v>来源未知的内部建模 BR</x:v>
      </x:c>
      <x:c r="K32" s="34" t="str">
        <x:v>**来源未知的内部建模 BR**；按表 A、表 B、编码格式、覆盖版本、冻结和 fail-closed 拆分。</x:v>
      </x:c>
      <x:c r="L32" s="34" t="str">
        <x:v>[BR-003](../../../../requirement-documents/02-business-rules/br-003-area-station-mapping.md) `7b25e92d5e66`；`0b→48`; Source 列三次 2026-07-13 自述确认（初始/两表/诊断颗粒度），无会议/对话或 RCS 接口版本</x:v>
      </x:c>
      <x:c r="M32" s="52" t="str">
        <x:v>not-found</x:v>
      </x:c>
      <x:c r="N32" s="52" t="str">
        <x:v>not-found</x:v>
      </x:c>
      <x:c r="O32" s="52" t="str">
        <x:v>not-found</x:v>
      </x:c>
      <x:c r="P32" s="52" t="str">
        <x:v>not-found</x:v>
      </x:c>
      <x:c r="Q32" s="55" t="str">
        <x:v>not-approved-by-this-classification</x:v>
      </x:c>
      <x:c r="R32" s="34" t="str">
        <x:v>candidate-only-after-atomic-decomposition-evidence-review-and-explicit-approval</x:v>
      </x:c>
      <x:c r="S32" s="34" t="str">
        <x:v>无；无 R-12/R-13 或地图权威方批准; **来源未知的内部建模 BR**；按表 A、表 B、编码格式、覆盖版本、冻结和 fail-closed 拆分。; detailed record: R02-requirements-framing-and-business-rules.md matrix row 12</x:v>
      </x:c>
      <x:c r="T32" s="35" t="str">
        <x:v>R02-requirements-framing-and-business-rules.md:32</x:v>
      </x:c>
    </x:row>
    <x:row r="33" ht="48" customHeight="1">
      <x:c r="A33" s="44" t="str">
        <x:v>R02-13</x:v>
      </x:c>
      <x:c r="B33" s="45" t="str">
        <x:v>R02</x:v>
      </x:c>
      <x:c r="C33" s="34" t="str">
        <x:v>requirement-documents/02-business-rules/br-004-workflow-template-matching.md</x:v>
      </x:c>
      <x:c r="D33" s="49" t="str">
        <x:v>e10d2a634aded29032d0ab939a9b48f7baadb338ea7adca9bc412f9f50220a2b</x:v>
      </x:c>
      <x:c r="E33" s="40" t="n">
        <x:v>6956</x:v>
      </x:c>
      <x:c r="F33" s="34" t="str">
        <x:v>tracked-clean</x:v>
      </x:c>
      <x:c r="G33" s="34" t="str">
        <x:v>tracked-clean</x:v>
      </x:c>
      <x:c r="H33" s="34" t="str">
        <x:v>candidate-requirement</x:v>
      </x:c>
      <x:c r="I33" s="34" t="str">
        <x:v>来源未知的内部派生 BR</x:v>
      </x:c>
      <x:c r="J33" s="34" t="str">
        <x:v>来源未知的内部派生 BR</x:v>
      </x:c>
      <x:c r="K33" s="34" t="str">
        <x:v>**来源未知的内部派生 BR**；拆匹配输入、候选范围、排序、覆盖、失败语义。</x:v>
      </x:c>
      <x:c r="L33" s="34" t="str">
        <x:v>[BR-004](../../../../requirement-documents/02-business-rules/br-004-workflow-template-matching.md) `e10d2a634ade`；`0b→48`; Source 只有 2026-07-13 “流程模板需求确认”三点摘要；其余优先级/唯一性/fail-closed 是内部规则展开</x:v>
      </x:c>
      <x:c r="M33" s="52" t="str">
        <x:v>not-found</x:v>
      </x:c>
      <x:c r="N33" s="52" t="str">
        <x:v>not-found</x:v>
      </x:c>
      <x:c r="O33" s="52" t="str">
        <x:v>not-found</x:v>
      </x:c>
      <x:c r="P33" s="52" t="str">
        <x:v>not-found</x:v>
      </x:c>
      <x:c r="Q33" s="55" t="str">
        <x:v>not-approved-by-this-classification</x:v>
      </x:c>
      <x:c r="R33" s="34" t="str">
        <x:v>candidate-only-after-atomic-decomposition-evidence-review-and-explicit-approval</x:v>
      </x:c>
      <x:c r="S33" s="34" t="str">
        <x:v>无; **来源未知的内部派生 BR**；拆匹配输入、候选范围、排序、覆盖、失败语义。; detailed record: R02-requirements-framing-and-business-rules.md matrix row 13</x:v>
      </x:c>
      <x:c r="T33" s="35" t="str">
        <x:v>R02-requirements-framing-and-business-rules.md:33</x:v>
      </x:c>
    </x:row>
    <x:row r="34" ht="48" customHeight="1">
      <x:c r="A34" s="44" t="str">
        <x:v>R02-14</x:v>
      </x:c>
      <x:c r="B34" s="45" t="str">
        <x:v>R02</x:v>
      </x:c>
      <x:c r="C34" s="34" t="str">
        <x:v>requirement-documents/02-business-rules/br-005-workflow-template-versioning.md</x:v>
      </x:c>
      <x:c r="D34" s="49" t="str">
        <x:v>798aad13791f06d7db6e7a1043b4c3439817311bd15ade6e152a872adcc22e53</x:v>
      </x:c>
      <x:c r="E34" s="40" t="n">
        <x:v>7453</x:v>
      </x:c>
      <x:c r="F34" s="34" t="str">
        <x:v>tracked-clean</x:v>
      </x:c>
      <x:c r="G34" s="34" t="str">
        <x:v>tracked-clean</x:v>
      </x:c>
      <x:c r="H34" s="34" t="str">
        <x:v>candidate-requirement</x:v>
      </x:c>
      <x:c r="I34" s="34" t="str">
        <x:v>来源未知的内部派生 BR</x:v>
      </x:c>
      <x:c r="J34" s="34" t="str">
        <x:v>来源未知的内部派生 BR</x:v>
      </x:c>
      <x:c r="K34" s="34" t="str">
        <x:v>**来源未知的内部派生 BR**；状态转换、新版影响范围、迁移禁止、发布/停用分别原子化。</x:v>
      </x:c>
      <x:c r="L34" s="34" t="str">
        <x:v>[BR-005](../../../../requirement-documents/02-business-rules/br-005-workflow-template-versioning.md) `798aad13791f`；`0b`; Source 仅 2026-07-13 模板状态/不可变快照/二次认证摘要；无上游原件</x:v>
      </x:c>
      <x:c r="M34" s="52" t="str">
        <x:v>not-found</x:v>
      </x:c>
      <x:c r="N34" s="52" t="str">
        <x:v>not-found</x:v>
      </x:c>
      <x:c r="O34" s="52" t="str">
        <x:v>not-found</x:v>
      </x:c>
      <x:c r="P34" s="52" t="str">
        <x:v>not-found</x:v>
      </x:c>
      <x:c r="Q34" s="55" t="str">
        <x:v>not-approved-by-this-classification</x:v>
      </x:c>
      <x:c r="R34" s="34" t="str">
        <x:v>candidate-only-after-atomic-decomposition-evidence-review-and-explicit-approval</x:v>
      </x:c>
      <x:c r="S34" s="34" t="str">
        <x:v>无; **来源未知的内部派生 BR**；状态转换、新版影响范围、迁移禁止、发布/停用分别原子化。; detailed record: R02-requirements-framing-and-business-rules.md matrix row 14</x:v>
      </x:c>
      <x:c r="T34" s="35" t="str">
        <x:v>R02-requirements-framing-and-business-rules.md:34</x:v>
      </x:c>
    </x:row>
    <x:row r="35" ht="48" customHeight="1">
      <x:c r="A35" s="44" t="str">
        <x:v>R02-15</x:v>
      </x:c>
      <x:c r="B35" s="45" t="str">
        <x:v>R02</x:v>
      </x:c>
      <x:c r="C35" s="34" t="str">
        <x:v>requirement-documents/02-business-rules/br-006-workflow-step-execution.md</x:v>
      </x:c>
      <x:c r="D35" s="49" t="str">
        <x:v>0ff765a61ad43e3ad9b30fdcf43b7c1c3c8999837c7bc7213a7dd45cda22c7a4</x:v>
      </x:c>
      <x:c r="E35" s="40" t="n">
        <x:v>9612</x:v>
      </x:c>
      <x:c r="F35" s="34" t="str">
        <x:v>tracked-clean</x:v>
      </x:c>
      <x:c r="G35" s="34" t="str">
        <x:v>tracked-clean</x:v>
      </x:c>
      <x:c r="H35" s="34" t="str">
        <x:v>candidate-requirement</x:v>
      </x:c>
      <x:c r="I35" s="34" t="str">
        <x:v>来源未知的内部派生 BR</x:v>
      </x:c>
      <x:c r="J35" s="34" t="str">
        <x:v>来源未知的内部派生 BR</x:v>
      </x:c>
      <x:c r="K35" s="34" t="str">
        <x:v>**来源未知的内部派生 BR**；将控制结构、状态、重试、人工处置、安全步骤拆分。</x:v>
      </x:c>
      <x:c r="L35" s="34" t="str">
        <x:v>[BR-006](../../../../requirement-documents/02-business-rules/br-006-workflow-step-execution.md) `0ff765a61ad4`；`0b`; Source 仅 2026-07-13 顺序/跳过/重试/等待、幂等/审计/fail-closed 摘要；与步骤目录同提交形成</x:v>
      </x:c>
      <x:c r="M35" s="52" t="str">
        <x:v>not-found</x:v>
      </x:c>
      <x:c r="N35" s="52" t="str">
        <x:v>not-found</x:v>
      </x:c>
      <x:c r="O35" s="52" t="str">
        <x:v>not-found</x:v>
      </x:c>
      <x:c r="P35" s="52" t="str">
        <x:v>not-found</x:v>
      </x:c>
      <x:c r="Q35" s="55" t="str">
        <x:v>not-approved-by-this-classification</x:v>
      </x:c>
      <x:c r="R35" s="34" t="str">
        <x:v>candidate-only-after-atomic-decomposition-evidence-review-and-explicit-approval</x:v>
      </x:c>
      <x:c r="S35" s="34" t="str">
        <x:v>无; **来源未知的内部派生 BR**；将控制结构、状态、重试、人工处置、安全步骤拆分。; detailed record: R02-requirements-framing-and-business-rules.md matrix row 15</x:v>
      </x:c>
      <x:c r="T35" s="35" t="str">
        <x:v>R02-requirements-framing-and-business-rules.md:35</x:v>
      </x:c>
    </x:row>
    <x:row r="36" ht="48" customHeight="1">
      <x:c r="A36" s="44" t="str">
        <x:v>R02-16</x:v>
      </x:c>
      <x:c r="B36" s="45" t="str">
        <x:v>R02</x:v>
      </x:c>
      <x:c r="C36" s="34" t="str">
        <x:v>requirement-documents/02-business-rules/br-007-charging-pile-allocation-and-queueing.md</x:v>
      </x:c>
      <x:c r="D36" s="49" t="str">
        <x:v>a5cef3093c15f6e7f1040aa8b46fa4899659e97c30fb0818c7d064d58a94bed7</x:v>
      </x:c>
      <x:c r="E36" s="40" t="n">
        <x:v>5172</x:v>
      </x:c>
      <x:c r="F36" s="34" t="str">
        <x:v>tracked-clean</x:v>
      </x:c>
      <x:c r="G36" s="34" t="str">
        <x:v>tracked-clean</x:v>
      </x:c>
      <x:c r="H36" s="34" t="str">
        <x:v>candidate-requirement</x:v>
      </x:c>
      <x:c r="I36" s="34" t="str">
        <x:v>来源未知的内部排队 BR</x:v>
      </x:c>
      <x:c r="J36" s="34" t="str">
        <x:v>来源未知的内部排队 BR</x:v>
      </x:c>
      <x:c r="K36" s="34" t="str">
        <x:v>**来源未知的内部排队 BR**；资源占用、排序、可/不可抢占分开批准。</x:v>
      </x:c>
      <x:c r="L36" s="34" t="str">
        <x:v>[BR-007](../../../../requirement-documents/02-business-rules/br-007-charging-pile-allocation-and-queueing.md) `a5cef3093c15`；`0b→48`; Source 只有 2026-07-13 本系统选桩和电量优先摘要</x:v>
      </x:c>
      <x:c r="M36" s="52" t="str">
        <x:v>not-found</x:v>
      </x:c>
      <x:c r="N36" s="52" t="str">
        <x:v>not-found</x:v>
      </x:c>
      <x:c r="O36" s="52" t="str">
        <x:v>not-found</x:v>
      </x:c>
      <x:c r="P36" s="52" t="str">
        <x:v>not-found</x:v>
      </x:c>
      <x:c r="Q36" s="55" t="str">
        <x:v>not-approved-by-this-classification</x:v>
      </x:c>
      <x:c r="R36" s="34" t="str">
        <x:v>candidate-only-after-atomic-decomposition-evidence-review-and-explicit-approval</x:v>
      </x:c>
      <x:c r="S36" s="34" t="str">
        <x:v>无；无车型、桩、站点和现场负责方范围; **来源未知的内部排队 BR**；资源占用、排序、可/不可抢占分开批准。; detailed record: R02-requirements-framing-and-business-rules.md matrix row 16</x:v>
      </x:c>
      <x:c r="T36" s="35" t="str">
        <x:v>R02-requirements-framing-and-business-rules.md:36</x:v>
      </x:c>
    </x:row>
    <x:row r="37" ht="48" customHeight="1">
      <x:c r="A37" s="44" t="str">
        <x:v>R02-17</x:v>
      </x:c>
      <x:c r="B37" s="45" t="str">
        <x:v>R02</x:v>
      </x:c>
      <x:c r="C37" s="34" t="str">
        <x:v>requirement-documents/02-business-rules/br-008-agv-slot-model-versioning.md</x:v>
      </x:c>
      <x:c r="D37" s="49" t="str">
        <x:v>5f8911ad0f36732819a9cfeb6a64103e170d2a6b03cf4f15eb7e852b3fecad0b</x:v>
      </x:c>
      <x:c r="E37" s="40" t="n">
        <x:v>8949</x:v>
      </x:c>
      <x:c r="F37" s="34" t="str">
        <x:v>tracked-clean</x:v>
      </x:c>
      <x:c r="G37" s="34" t="str">
        <x:v>tracked-clean</x:v>
      </x:c>
      <x:c r="H37" s="34" t="str">
        <x:v>candidate-requirement</x:v>
      </x:c>
      <x:c r="I37" s="34" t="str">
        <x:v>来源未知的混合派生 BR</x:v>
      </x:c>
      <x:c r="J37" s="34" t="str">
        <x:v>来源未知的混合派生 BR</x:v>
      </x:c>
      <x:c r="K37" s="34" t="str">
        <x:v>**来源未知的混合派生 BR**；将仓位业务属性与模拟器设计选择分开。</x:v>
      </x:c>
      <x:c r="L37" s="34" t="str">
        <x:v>[BR-008](../../../../requirement-documents/02-business-rules/br-008-agv-slot-model-versioning.md) `5f8911ad0f36`；`48`; Source 自述“用户提出/确认”，并明说仓位定义“参照 `slots-simulator`”、版本做法参照 BR-005；这是需求摘要+实现/内部类比的混合链</x:v>
      </x:c>
      <x:c r="M37" s="52" t="str">
        <x:v>not-found</x:v>
      </x:c>
      <x:c r="N37" s="52" t="str">
        <x:v>not-found</x:v>
      </x:c>
      <x:c r="O37" s="52" t="str">
        <x:v>not-found</x:v>
      </x:c>
      <x:c r="P37" s="52" t="str">
        <x:v>not-found</x:v>
      </x:c>
      <x:c r="Q37" s="55" t="str">
        <x:v>not-approved-by-this-classification</x:v>
      </x:c>
      <x:c r="R37" s="34" t="str">
        <x:v>candidate-only-after-atomic-decomposition-evidence-review-and-explicit-approval</x:v>
      </x:c>
      <x:c r="S37" s="34" t="str">
        <x:v>无；实现参照不赋予业务批准; **来源未知的混合派生 BR**；将仓位业务属性与模拟器设计选择分开。; detailed record: R02-requirements-framing-and-business-rules.md matrix row 17</x:v>
      </x:c>
      <x:c r="T37" s="35" t="str">
        <x:v>R02-requirements-framing-and-business-rules.md:37</x:v>
      </x:c>
    </x:row>
    <x:row r="38" ht="48" customHeight="1">
      <x:c r="A38" s="44" t="str">
        <x:v>R02-18</x:v>
      </x:c>
      <x:c r="B38" s="45" t="str">
        <x:v>R02</x:v>
      </x:c>
      <x:c r="C38" s="34" t="str">
        <x:v>requirement-documents/02-business-rules/br-009-parking-point-allocation-and-queueing.md</x:v>
      </x:c>
      <x:c r="D38" s="49" t="str">
        <x:v>bc212f95287faec261b05a3ee5e8c9468e009fedfb6ec24840863df52e371c5a</x:v>
      </x:c>
      <x:c r="E38" s="40" t="n">
        <x:v>5952</x:v>
      </x:c>
      <x:c r="F38" s="34" t="str">
        <x:v>tracked-clean</x:v>
      </x:c>
      <x:c r="G38" s="34" t="str">
        <x:v>tracked-clean</x:v>
      </x:c>
      <x:c r="H38" s="34" t="str">
        <x:v>candidate-requirement</x:v>
      </x:c>
      <x:c r="I38" s="34" t="str">
        <x:v>来源未知的类比派生 BR</x:v>
      </x:c>
      <x:c r="J38" s="34" t="str">
        <x:v>来源未知的类比派生 BR</x:v>
      </x:c>
      <x:c r="K38" s="34" t="str">
        <x:v>**来源未知的类比派生 BR**；停靠触发、候选有效性、FIFO、优先级与并发锁分开。</x:v>
      </x:c>
      <x:c r="L38" s="34" t="str">
        <x:v>[BR-009](../../../../requirement-documents/02-business-rules/br-009-parking-point-allocation-and-queueing.md) `bc212f95287f`；`48`; Source 只有 2026-07-13 触发/候选/优先级摘要；排队结构明说参照 BR-007，FIFO 是内部差异化设计</x:v>
      </x:c>
      <x:c r="M38" s="52" t="str">
        <x:v>not-found</x:v>
      </x:c>
      <x:c r="N38" s="52" t="str">
        <x:v>not-found</x:v>
      </x:c>
      <x:c r="O38" s="52" t="str">
        <x:v>not-found</x:v>
      </x:c>
      <x:c r="P38" s="52" t="str">
        <x:v>not-found</x:v>
      </x:c>
      <x:c r="Q38" s="55" t="str">
        <x:v>not-approved-by-this-classification</x:v>
      </x:c>
      <x:c r="R38" s="34" t="str">
        <x:v>candidate-only-after-atomic-decomposition-evidence-review-and-explicit-approval</x:v>
      </x:c>
      <x:c r="S38" s="34" t="str">
        <x:v>无; **来源未知的类比派生 BR**；停靠触发、候选有效性、FIFO、优先级与并发锁分开。; detailed record: R02-requirements-framing-and-business-rules.md matrix row 18</x:v>
      </x:c>
      <x:c r="T38" s="35" t="str">
        <x:v>R02-requirements-framing-and-business-rules.md:38</x:v>
      </x:c>
    </x:row>
    <x:row r="39" ht="48" customHeight="1">
      <x:c r="A39" s="44" t="str">
        <x:v>R02-19</x:v>
      </x:c>
      <x:c r="B39" s="45" t="str">
        <x:v>R02</x:v>
      </x:c>
      <x:c r="C39" s="34" t="str">
        <x:v>requirement-documents/02-business-rules/br-010-default-administrator-account.md</x:v>
      </x:c>
      <x:c r="D39" s="49" t="str">
        <x:v>9843f98e918e6fba1eb35c064596f9d01815e23b21e582183dbb9a239482d0c3</x:v>
      </x:c>
      <x:c r="E39" s="40" t="n">
        <x:v>6678</x:v>
      </x:c>
      <x:c r="F39" s="34" t="str">
        <x:v>tracked-clean</x:v>
      </x:c>
      <x:c r="G39" s="34" t="str">
        <x:v>tracked-clean</x:v>
      </x:c>
      <x:c r="H39" s="34" t="str">
        <x:v>candidate-requirement</x:v>
      </x:c>
      <x:c r="I39" s="34" t="str">
        <x:v>来源未知的用户澄清摘要/BR</x:v>
      </x:c>
      <x:c r="J39" s="34" t="str">
        <x:v>来源未知的用户澄清摘要/BR</x:v>
      </x:c>
      <x:c r="K39" s="34" t="str">
        <x:v>**来源未知的用户澄清摘要/BR**；账号唯一性、不可停用、初始密码、超级权限、审计逐项确认。</x:v>
      </x:c>
      <x:c r="L39" s="34" t="str">
        <x:v>[BR-010](../../../../requirement-documents/02-business-rules/br-010-default-administrator-account.md) `9843f98e918e`；`ec`; Source 写 2026-07-14 “与用户澄清问答”，但不含对话记录、用户身份或版本指针</x:v>
      </x:c>
      <x:c r="M39" s="52" t="str">
        <x:v>not-found</x:v>
      </x:c>
      <x:c r="N39" s="52" t="str">
        <x:v>not-found</x:v>
      </x:c>
      <x:c r="O39" s="52" t="str">
        <x:v>not-found</x:v>
      </x:c>
      <x:c r="P39" s="52" t="str">
        <x:v>not-found</x:v>
      </x:c>
      <x:c r="Q39" s="55" t="str">
        <x:v>not-approved-by-this-classification</x:v>
      </x:c>
      <x:c r="R39" s="34" t="str">
        <x:v>candidate-only-after-atomic-decomposition-evidence-review-and-explicit-approval</x:v>
      </x:c>
      <x:c r="S39" s="34" t="str">
        <x:v>无；安全影响大但无 IT/安全授权人批准; **来源未知的用户澄清摘要/BR**；账号唯一性、不可停用、初始密码、超级权限、审计逐项确认。; detailed record: R02-requirements-framing-and-business-rules.md matrix row 19</x:v>
      </x:c>
      <x:c r="T39" s="35" t="str">
        <x:v>R02-requirements-framing-and-business-rules.md:39</x:v>
      </x:c>
    </x:row>
    <x:row r="40" ht="48" customHeight="1">
      <x:c r="A40" s="44" t="str">
        <x:v>R02-20</x:v>
      </x:c>
      <x:c r="B40" s="45" t="str">
        <x:v>R02</x:v>
      </x:c>
      <x:c r="C40" s="34" t="str">
        <x:v>requirement-documents/02-business-rules/br-011-account-and-password-format.md</x:v>
      </x:c>
      <x:c r="D40" s="49" t="str">
        <x:v>e5a2ae6c041daa436a26edfbf8987982495d4e510c55c656aeef75d29911c394</x:v>
      </x:c>
      <x:c r="E40" s="40" t="n">
        <x:v>4766</x:v>
      </x:c>
      <x:c r="F40" s="34" t="str">
        <x:v>tracked-clean</x:v>
      </x:c>
      <x:c r="G40" s="34" t="str">
        <x:v>tracked-clean</x:v>
      </x:c>
      <x:c r="H40" s="34" t="str">
        <x:v>candidate-requirement</x:v>
      </x:c>
      <x:c r="I40" s="34" t="str">
        <x:v>原始要求摘要与纯分析派生混合 BR</x:v>
      </x:c>
      <x:c r="J40" s="34" t="str">
        <x:v>原始要求摘要与纯分析派生混合 BR</x:v>
      </x:c>
      <x:c r="K40" s="34" t="str">
        <x:v>**原始要求摘要与纯分析派生混合 BR**；两类必须分开原子化，不得整份确认。</x:v>
      </x:c>
      <x:c r="L40" s="34" t="str">
        <x:v>[BR-011](../../../../requirement-documents/02-business-rules/br-011-account-and-password-format.md) `e5a2ae6c041d`；`ec`; Source 明确只把“英文+数字、不高复杂度/定期更换”称为确认；**其余登录名格式、密码长度、保留标识和存储方式自述为“需求工程常规基线拟定”**</x:v>
      </x:c>
      <x:c r="M40" s="52" t="str">
        <x:v>not-found</x:v>
      </x:c>
      <x:c r="N40" s="52" t="str">
        <x:v>not-found</x:v>
      </x:c>
      <x:c r="O40" s="52" t="str">
        <x:v>not-found</x:v>
      </x:c>
      <x:c r="P40" s="52" t="str">
        <x:v>not-found</x:v>
      </x:c>
      <x:c r="Q40" s="55" t="str">
        <x:v>not-approved-by-this-classification</x:v>
      </x:c>
      <x:c r="R40" s="34" t="str">
        <x:v>candidate-only-after-atomic-decomposition-evidence-review-and-explicit-approval</x:v>
      </x:c>
      <x:c r="S40" s="34" t="str">
        <x:v>无；即使自述确认的最低密码部分也无具名记录; **原始要求摘要与纯分析派生混合 BR**；两类必须分开原子化，不得整份确认。; detailed record: R02-requirements-framing-and-business-rules.md matrix row 20</x:v>
      </x:c>
      <x:c r="T40" s="35" t="str">
        <x:v>R02-requirements-framing-and-business-rules.md:40</x:v>
      </x:c>
    </x:row>
    <x:row r="41" ht="48" customHeight="1">
      <x:c r="A41" s="44" t="str">
        <x:v>R02-21</x:v>
      </x:c>
      <x:c r="B41" s="45" t="str">
        <x:v>R02</x:v>
      </x:c>
      <x:c r="C41" s="34" t="str">
        <x:v>requirement-documents/02-business-rules/br-012-mes-task-idempotency-and-reconciliation.md</x:v>
      </x:c>
      <x:c r="D41" s="49" t="str">
        <x:v>d8f77fc533fd7e3bbf4b86a6800f7fe0b410d58f42a7a354ed41c14b0d289260</x:v>
      </x:c>
      <x:c r="E41" s="40" t="n">
        <x:v>7036</x:v>
      </x:c>
      <x:c r="F41" s="34" t="str">
        <x:v>tracked-clean</x:v>
      </x:c>
      <x:c r="G41" s="34" t="str">
        <x:v>tracked-clean</x:v>
      </x:c>
      <x:c r="H41" s="34" t="str">
        <x:v>candidate-requirement</x:v>
      </x:c>
      <x:c r="I41" s="34" t="str">
        <x:v>可追至未批准内部上游的派生 BR</x:v>
      </x:c>
      <x:c r="J41" s="34" t="str">
        <x:v>可追至未批准内部上游的派生 BR</x:v>
      </x:c>
      <x:c r="K41" s="34" t="str">
        <x:v>**可追至未批准内部上游的派生 BR**；幂等键、轮询、消失、冻结、上线基线、Mock、只读和性能目标/观察分开。</x:v>
      </x:c>
      <x:c r="L41" s="34" t="str">
        <x:v>[BR-012](../../../../requirement-documents/02-business-rules/br-012-mes-task-idempotency-and-reconciliation.md) `d8f77fc533fd`；`ec→49`; Source 指向 MES 模型第 4–7/12–13 节，同时引用“10 轮平均约 3.13s”实测；上游是混合综合文档，性能观察也不等于要求批准</x:v>
      </x:c>
      <x:c r="M41" s="52" t="str">
        <x:v>not-found</x:v>
      </x:c>
      <x:c r="N41" s="52" t="str">
        <x:v>not-found</x:v>
      </x:c>
      <x:c r="O41" s="52" t="str">
        <x:v>not-found</x:v>
      </x:c>
      <x:c r="P41" s="52" t="str">
        <x:v>not-found</x:v>
      </x:c>
      <x:c r="Q41" s="55" t="str">
        <x:v>not-approved-by-this-classification</x:v>
      </x:c>
      <x:c r="R41" s="34" t="str">
        <x:v>candidate-only-after-atomic-decomposition-evidence-review-and-explicit-approval</x:v>
      </x:c>
      <x:c r="S41" s="34" t="str">
        <x:v>无；未绑定客户 IT 批准的 SQL/查询目录版本; **可追至未批准内部上游的派生 BR**；幂等键、轮询、消失、冻结、上线基线、Mock、只读和性能目标/观察分开。; detailed record: R02-requirements-framing-and-business-rules.md matrix row 21</x:v>
      </x:c>
      <x:c r="T41" s="35" t="str">
        <x:v>R02-requirements-framing-and-business-rules.md:41</x:v>
      </x:c>
    </x:row>
    <x:row r="42" ht="48" customHeight="1">
      <x:c r="A42" s="44" t="str">
        <x:v>R02-22</x:v>
      </x:c>
      <x:c r="B42" s="45" t="str">
        <x:v>R02</x:v>
      </x:c>
      <x:c r="C42" s="34" t="str">
        <x:v>requirement-documents/02-business-rules/br-013-multi-basket-loading.md</x:v>
      </x:c>
      <x:c r="D42" s="49" t="str">
        <x:v>ac51b3a50f7b1740bf7f51c2f6d0d7a9e299037d724bed8e7931a75e89b82bef</x:v>
      </x:c>
      <x:c r="E42" s="40" t="n">
        <x:v>4126</x:v>
      </x:c>
      <x:c r="F42" s="34" t="str">
        <x:v>tracked-clean</x:v>
      </x:c>
      <x:c r="G42" s="34" t="str">
        <x:v>tracked-clean</x:v>
      </x:c>
      <x:c r="H42" s="34" t="str">
        <x:v>candidate-requirement</x:v>
      </x:c>
      <x:c r="I42" s="34" t="str">
        <x:v>可追至未批准内部上游的派生 BR</x:v>
      </x:c>
      <x:c r="J42" s="34" t="str">
        <x:v>可追至未批准内部上游的派生 BR</x:v>
      </x:c>
      <x:c r="K42" s="34" t="str">
        <x:v>**可追至未批准内部上游的派生 BR**；花篮身份、数量权威、换算、仓位占用、批量开门分开。</x:v>
      </x:c>
      <x:c r="L42" s="34" t="str">
        <x:v>[BR-013](../../../../requirement-documents/02-business-rules/br-013-multi-basket-loading.md) `ac51b3a50f7b`；`ec→49`; Source 指向 MES 模型第 9/13.3 节的 2026-07-31 “业务确认”摘要；无原始业务记录</x:v>
      </x:c>
      <x:c r="M42" s="52" t="str">
        <x:v>not-found</x:v>
      </x:c>
      <x:c r="N42" s="52" t="str">
        <x:v>not-found</x:v>
      </x:c>
      <x:c r="O42" s="52" t="str">
        <x:v>not-found</x:v>
      </x:c>
      <x:c r="P42" s="52" t="str">
        <x:v>not-found</x:v>
      </x:c>
      <x:c r="Q42" s="55" t="str">
        <x:v>not-approved-by-this-classification</x:v>
      </x:c>
      <x:c r="R42" s="34" t="str">
        <x:v>candidate-only-after-atomic-decomposition-evidence-review-and-explicit-approval</x:v>
      </x:c>
      <x:c r="S42" s="34" t="str">
        <x:v>无; **可追至未批准内部上游的派生 BR**；花篮身份、数量权威、换算、仓位占用、批量开门分开。; detailed record: R02-requirements-framing-and-business-rules.md matrix row 22</x:v>
      </x:c>
      <x:c r="T42" s="35" t="str">
        <x:v>R02-requirements-framing-and-business-rules.md:42</x:v>
      </x:c>
    </x:row>
    <x:row r="43" ht="48" customHeight="1">
      <x:c r="A43" s="44" t="str">
        <x:v>R02-23</x:v>
      </x:c>
      <x:c r="B43" s="45" t="str">
        <x:v>R02</x:v>
      </x:c>
      <x:c r="C43" s="34" t="str">
        <x:v>requirement-documents/02-business-rules/br-014-transport-task-types-and-fixed-stations.md</x:v>
      </x:c>
      <x:c r="D43" s="49" t="str">
        <x:v>98cd58e70e4a3f97d333b8cd5b29278363c6105ee8de10b63b4ba90f48c7090e</x:v>
      </x:c>
      <x:c r="E43" s="40" t="n">
        <x:v>5171</x:v>
      </x:c>
      <x:c r="F43" s="34" t="str">
        <x:v>tracked-clean</x:v>
      </x:c>
      <x:c r="G43" s="34" t="str">
        <x:v>tracked-clean</x:v>
      </x:c>
      <x:c r="H43" s="34" t="str">
        <x:v>candidate-requirement</x:v>
      </x:c>
      <x:c r="I43" s="34" t="str">
        <x:v>可追至未批准内部上游的派生 BR</x:v>
      </x:c>
      <x:c r="J43" s="34" t="str">
        <x:v>可追至未批准内部上游的派生 BR</x:v>
      </x:c>
      <x:c r="K43" s="34" t="str">
        <x:v>**可追至未批准内部上游的派生 BR**；六个任务类型、每个起/终点、固定站、优先级和上下游等待逐项核实。</x:v>
      </x:c>
      <x:c r="L43" s="34" t="str">
        <x:v>[BR-014](../../../../requirement-documents/02-business-rules/br-014-transport-task-types-and-fixed-stations.md) `98cd58e70e4a`；`ec→49`; Source 指向 MES 模型和 MES 接口确认文档；两个当前路径的迁移指针可追至 `mes/docs`，但上游没有合格批准链</x:v>
      </x:c>
      <x:c r="M43" s="52" t="str">
        <x:v>not-found</x:v>
      </x:c>
      <x:c r="N43" s="52" t="str">
        <x:v>not-found</x:v>
      </x:c>
      <x:c r="O43" s="52" t="str">
        <x:v>not-found</x:v>
      </x:c>
      <x:c r="P43" s="52" t="str">
        <x:v>not-found</x:v>
      </x:c>
      <x:c r="Q43" s="55" t="str">
        <x:v>not-approved-by-this-classification</x:v>
      </x:c>
      <x:c r="R43" s="34" t="str">
        <x:v>candidate-only-after-atomic-decomposition-evidence-review-and-explicit-approval</x:v>
      </x:c>
      <x:c r="S43" s="34" t="str">
        <x:v>无；“第六类于 2026-07-24 加入正式查询”是形成声明，非批准记录; **可追至未批准内部上游的派生 BR**；六个任务类型、每个起/终点、固定站、优先级和上下游等待逐项核实。; detailed record: R02-requirements-framing-and-business-rules.md matrix row 23</x:v>
      </x:c>
      <x:c r="T43" s="35" t="str">
        <x:v>R02-requirements-framing-and-business-rules.md:43</x:v>
      </x:c>
    </x:row>
    <x:row r="44" ht="48" customHeight="1">
      <x:c r="A44" s="44" t="str">
        <x:v>R02-24</x:v>
      </x:c>
      <x:c r="B44" s="45" t="str">
        <x:v>R02</x:v>
      </x:c>
      <x:c r="C44" s="34" t="str">
        <x:v>requirement-documents/02-business-rules/br-015-path-cost-and-dispatch-ranking.md</x:v>
      </x:c>
      <x:c r="D44" s="49" t="str">
        <x:v>5b6708cec8474a45735292a7e028ee341f00d4840bb8256a57c1e44ab0cad1dd</x:v>
      </x:c>
      <x:c r="E44" s="40" t="n">
        <x:v>6367</x:v>
      </x:c>
      <x:c r="F44" s="34" t="str">
        <x:v>tracked-clean</x:v>
      </x:c>
      <x:c r="G44" s="34" t="str">
        <x:v>tracked-clean</x:v>
      </x:c>
      <x:c r="H44" s="34" t="str">
        <x:v>candidate-requirement</x:v>
      </x:c>
      <x:c r="I44" s="34" t="str">
        <x:v>来源未知的内部派生 BR</x:v>
      </x:c>
      <x:c r="J44" s="34" t="str">
        <x:v>来源未知的内部派生 BR</x:v>
      </x:c>
      <x:c r="K44" s="34" t="str">
        <x:v>**来源未知的内部派生 BR**；路径成本定义、权重、硬优先级、降级和 TBD 分开确认。</x:v>
      </x:c>
      <x:c r="L44" s="34" t="str">
        <x:v>[BR-015](../../../../requirement-documents/02-business-rules/br-015-path-cost-and-dispatch-ranking.md) `5b6708cec847`；`ec`; Source 只有 2026-07-14 从 RIOT 读路网并与紧急度权衡的自述确认；无 RIOT API/地图版本或会议记录</x:v>
      </x:c>
      <x:c r="M44" s="52" t="str">
        <x:v>not-found</x:v>
      </x:c>
      <x:c r="N44" s="52" t="str">
        <x:v>not-found</x:v>
      </x:c>
      <x:c r="O44" s="52" t="str">
        <x:v>not-found</x:v>
      </x:c>
      <x:c r="P44" s="52" t="str">
        <x:v>not-found</x:v>
      </x:c>
      <x:c r="Q44" s="55" t="str">
        <x:v>not-approved-by-this-classification</x:v>
      </x:c>
      <x:c r="R44" s="34" t="str">
        <x:v>candidate-only-after-atomic-decomposition-evidence-review-and-explicit-approval</x:v>
      </x:c>
      <x:c r="S44" s="34" t="str">
        <x:v>无; **来源未知的内部派生 BR**；路径成本定义、权重、硬优先级、降级和 TBD 分开确认。; detailed record: R02-requirements-framing-and-business-rules.md matrix row 24</x:v>
      </x:c>
      <x:c r="T44" s="35" t="str">
        <x:v>R02-requirements-framing-and-business-rules.md:44</x:v>
      </x:c>
    </x:row>
    <x:row r="45" ht="48" customHeight="1">
      <x:c r="A45" s="44" t="str">
        <x:v>R02-25</x:v>
      </x:c>
      <x:c r="B45" s="45" t="str">
        <x:v>R02</x:v>
      </x:c>
      <x:c r="C45" s="34" t="str">
        <x:v>requirement-documents/02-business-rules/README.md</x:v>
      </x:c>
      <x:c r="D45" s="49" t="str">
        <x:v>9a99ee7f963b7e5a3307a8a0165892be44c0eb7afa8a7d94e5bf197d430f69e5</x:v>
      </x:c>
      <x:c r="E45" s="40" t="n">
        <x:v>1610</x:v>
      </x:c>
      <x:c r="F45" s="34" t="str">
        <x:v>tracked-clean</x:v>
      </x:c>
      <x:c r="G45" s="34" t="str">
        <x:v>tracked-clean</x:v>
      </x:c>
      <x:c r="H45" s="34" t="str">
        <x:v>candidate-requirement</x:v>
      </x:c>
      <x:c r="I45" s="34" t="str">
        <x:v>不完整导航索引/记录结构</x:v>
      </x:c>
      <x:c r="J45" s="34" t="str">
        <x:v>不完整导航索引/记录结构</x:v>
      </x:c>
      <x:c r="K45" s="34" t="str">
        <x:v>**不完整导航索引/记录结构**；不独立提取需求，后续只用于指向原 BR，并勘误缺失链接。</x:v>
      </x:c>
      <x:c r="L45" s="34" t="str">
        <x:v>[02-business-rules/README.md](../../../../requirement-documents/02-business-rules/README.md) `9a99ee7f963b`；`96→ec→49`; 说明目录、模板、Dataview 用法，只列 BR-001 及 BR-012–015，未无损索引全部 15 条 BR；条目摘要是下游文档的重复</x:v>
      </x:c>
      <x:c r="M45" s="52" t="str">
        <x:v>not-found</x:v>
      </x:c>
      <x:c r="N45" s="52" t="str">
        <x:v>not-found</x:v>
      </x:c>
      <x:c r="O45" s="52" t="str">
        <x:v>not-found</x:v>
      </x:c>
      <x:c r="P45" s="52" t="str">
        <x:v>not-found</x:v>
      </x:c>
      <x:c r="Q45" s="55" t="str">
        <x:v>not-approved-by-this-classification</x:v>
      </x:c>
      <x:c r="R45" s="34" t="str">
        <x:v>do-not-extract-from-this-document</x:v>
      </x:c>
      <x:c r="S45" s="34" t="str">
        <x:v>无; **不完整导航索引/记录结构**；不独立提取需求，后续只用于指向原 BR，并勘误缺失链接。; detailed record: R02-requirements-framing-and-business-rules.md matrix row 25</x:v>
      </x:c>
      <x:c r="T45" s="35" t="str">
        <x:v>R02-requirements-framing-and-business-rules.md:45</x:v>
      </x:c>
    </x:row>
    <x:row r="46" ht="48" customHeight="1">
      <x:c r="A46" s="44" t="str">
        <x:v>R02-26</x:v>
      </x:c>
      <x:c r="B46" s="45" t="str">
        <x:v>R02</x:v>
      </x:c>
      <x:c r="C46" s="34" t="str">
        <x:v>requirement-documents/02-business-rules/workflow-step-catalog.md</x:v>
      </x:c>
      <x:c r="D46" s="49" t="str">
        <x:v>c62f70569c041c9c22101dced98b85e792fef9a343252537a43f2ae56332bb85</x:v>
      </x:c>
      <x:c r="E46" s="40" t="n">
        <x:v>15751</x:v>
      </x:c>
      <x:c r="F46" s="34" t="str">
        <x:v>tracked-clean</x:v>
      </x:c>
      <x:c r="G46" s="34" t="str">
        <x:v>tracked-clean</x:v>
      </x:c>
      <x:c r="H46" s="34" t="str">
        <x:v>candidate-requirement</x:v>
      </x:c>
      <x:c r="I46" s="34" t="str">
        <x:v>内部派生规范/参考目录，非纯索引</x:v>
      </x:c>
      <x:c r="J46" s="34" t="str">
        <x:v>内部派生规范/参考目录，非纯索引</x:v>
      </x:c>
      <x:c r="K46" s="34" t="str">
        <x:v>**内部派生规范/参考目录，非纯索引**；按每个步骤类型的语义、安全标记、幂等/重试和上游 UC/BR 逐项核实。</x:v>
      </x:c>
      <x:c r="L46" s="34" t="str">
        <x:v>[workflow-step-catalog.md](../../../../requirement-documents/02-business-rules/workflow-step-catalog.md) `c62f70569c04`；`0b→48→ec→49`; `type: reference,status: draft`；无 Source 节，通过 UC/BR 链接派生步骤类型，但同时新增可跳过/重试、输入输出和安全边界等规范性内容；`catalog_version` 仍为 `2026.07.13`，与后续多次实质修改未绑定</x:v>
      </x:c>
      <x:c r="M46" s="52" t="str">
        <x:v>not-found</x:v>
      </x:c>
      <x:c r="N46" s="52" t="str">
        <x:v>not-found</x:v>
      </x:c>
      <x:c r="O46" s="52" t="str">
        <x:v>not-found</x:v>
      </x:c>
      <x:c r="P46" s="52" t="str">
        <x:v>not-found</x:v>
      </x:c>
      <x:c r="Q46" s="55" t="str">
        <x:v>not-approved-by-this-classification</x:v>
      </x:c>
      <x:c r="R46" s="34" t="str">
        <x:v>candidate-only-after-atomic-decomposition-evidence-review-and-explicit-approval</x:v>
      </x:c>
      <x:c r="S46" s="34" t="str">
        <x:v>无；无软件发布/安全评审记录或目录版本哈希; **内部派生规范/参考目录，非纯索引**；按每个步骤类型的语义、安全标记、幂等/重试和上游 UC/BR 逐项核实。; detailed record: R02-requirements-framing-and-business-rules.md matrix row 26</x:v>
      </x:c>
      <x:c r="T46" s="35" t="str">
        <x:v>R02-requirements-framing-and-business-rules.md:46</x:v>
      </x:c>
    </x:row>
    <x:row r="47" ht="48" customHeight="1">
      <x:c r="A47" s="44" t="str">
        <x:v>R02-27</x:v>
      </x:c>
      <x:c r="B47" s="45" t="str">
        <x:v>R02</x:v>
      </x:c>
      <x:c r="C47" s="34" t="str">
        <x:v>requirement-documents/README.md</x:v>
      </x:c>
      <x:c r="D47" s="49" t="str">
        <x:v>b247854f21d75fed673ce85fbc57426cb9293a27b7416b33c0d905fd055be999</x:v>
      </x:c>
      <x:c r="E47" s="40" t="n">
        <x:v>21616</x:v>
      </x:c>
      <x:c r="F47" s="34" t="str">
        <x:v>tracked-clean</x:v>
      </x:c>
      <x:c r="G47" s="34" t="str">
        <x:v>tracked-clean</x:v>
      </x:c>
      <x:c r="H47" s="34" t="str">
        <x:v>template-or-index</x:v>
      </x:c>
      <x:c r="I47" s="34" t="str">
        <x:v>需求库入口/编辑与索引结构</x:v>
      </x:c>
      <x:c r="J47" s="34" t="str">
        <x:v>需求库入口/编辑与索引结构</x:v>
      </x:c>
      <x:c r="K47" s="34" t="str">
        <x:v>**需求库入口/编辑与索引结构**；可用于导航与工具使用，不从其生成系统需求。</x:v>
      </x:c>
      <x:c r="L47" s="34" t="str">
        <x:v>[requirement-documents/README.md](../../../../requirement-documents/README.md) `b247854f21d7`；`96→0b→48→ec→49`; Obsidian vault 入口：目录结构、ID/wikilink/frontmatter、插件和编辑流程。它定义 `approved` 的字符串语义，不提供任何实例的批准记录；开头的 BR-001∼008/UC-001∼038 口径已不能完整表示当前集合</x:v>
      </x:c>
      <x:c r="M47" s="52" t="str">
        <x:v>not-found</x:v>
      </x:c>
      <x:c r="N47" s="52" t="str">
        <x:v>not-found</x:v>
      </x:c>
      <x:c r="O47" s="52" t="str">
        <x:v>not-found</x:v>
      </x:c>
      <x:c r="P47" s="52" t="str">
        <x:v>not-found</x:v>
      </x:c>
      <x:c r="Q47" s="55" t="str">
        <x:v>not-approved-by-this-classification</x:v>
      </x:c>
      <x:c r="R47" s="34" t="str">
        <x:v>do-not-extract-from-this-document</x:v>
      </x:c>
      <x:c r="S47" s="34" t="str">
        <x:v>无；这是仓库编辑规约，不是业务授权或基线批准; **需求库入口/编辑与索引结构**；可用于导航与工具使用，不从其生成系统需求。; detailed record: R02-requirements-framing-and-business-rules.md matrix row 27</x:v>
      </x:c>
      <x:c r="T47" s="35" t="str">
        <x:v>R02-requirements-framing-and-business-rules.md:47</x:v>
      </x:c>
    </x:row>
    <x:row r="48" ht="48" customHeight="1">
      <x:c r="A48" s="44" t="str">
        <x:v>R03-01</x:v>
      </x:c>
      <x:c r="B48" s="45" t="str">
        <x:v>R03</x:v>
      </x:c>
      <x:c r="C48" s="34" t="str">
        <x:v>requirement-documents/03-use-cases/01-site-operations/uc-001-load-completed-lot-into-slot.md</x:v>
      </x:c>
      <x:c r="D48" s="49" t="str">
        <x:v>2eb915704d97aaa54decb651c73127ca42b5d61f55200d6e2ad24cdb08bfa809</x:v>
      </x:c>
      <x:c r="E48" s="40" t="n">
        <x:v>20755</x:v>
      </x:c>
      <x:c r="F48" s="34" t="str">
        <x:v>tracked-clean</x:v>
      </x:c>
      <x:c r="G48" s="34" t="str">
        <x:v>tracked-clean</x:v>
      </x:c>
      <x:c r="H48" s="34" t="str">
        <x:v>candidate-requirement</x:v>
      </x:c>
      <x:c r="I48" s="34" t="str">
        <x:v>R03-C</x:v>
      </x:c>
      <x:c r="J48" s="34" t="str">
        <x:v>unapproved-use-case-candidate-for-human-review</x:v>
      </x:c>
      <x:c r="K48" s="34" t="str">
        <x:v>`C`；当前内部站点装货主候选，`49` 已改写旧的手工确认/单仓语义；1 个 TBD，整个新版本须重新送审。</x:v>
      </x:c>
      <x:c r="L48" s="34" t="str">
        <x:v>[UC-001](../../../../requirement-documents/03-use-cases/01-site-operations/uc-001-load-completed-lot-into-slot.md) `2eb915704d97`；`96→0b→48→ec→49`; 由原始站点搬运场景和 UC/BR 持续扩展；关联 BR-001/012/013/014；范围是起点装货、多花篮/多仓位、自动 LoadBatch 提交</x:v>
      </x:c>
      <x:c r="M48" s="52" t="str">
        <x:v>not-found</x:v>
      </x:c>
      <x:c r="N48" s="52" t="str">
        <x:v>not-found</x:v>
      </x:c>
      <x:c r="O48" s="52" t="str">
        <x:v>not-found</x:v>
      </x:c>
      <x:c r="P48" s="52" t="str">
        <x:v>not-found</x:v>
      </x:c>
      <x:c r="Q48" s="55" t="str">
        <x:v>not-approved-by-this-classification</x:v>
      </x:c>
      <x:c r="R48" s="34" t="str">
        <x:v>candidate-only-after-flow-level-decomposition-evidence-review-and-explicit-approval</x:v>
      </x:c>
      <x:c r="S48" s="34" t="str">
        <x:v>`C`；当前内部站点装货主候选，`49` 已改写旧的手工确认/单仓语义；1 个 TBD，整个新版本须重新送审。; detailed record: R03-use-cases.md line 27</x:v>
      </x:c>
      <x:c r="T48" s="35" t="str">
        <x:v>R03-use-cases.md:27</x:v>
      </x:c>
    </x:row>
    <x:row r="49" ht="48" customHeight="1">
      <x:c r="A49" s="44" t="str">
        <x:v>R03-02</x:v>
      </x:c>
      <x:c r="B49" s="45" t="str">
        <x:v>R03</x:v>
      </x:c>
      <x:c r="C49" s="34" t="str">
        <x:v>requirement-documents/03-use-cases/01-site-operations/uc-002-confirm-task-completion.md</x:v>
      </x:c>
      <x:c r="D49" s="49" t="str">
        <x:v>00e4d1ea89c427c845fd2a8514c82fb715f578f6a44d66bc1e761e8abaa79ea8</x:v>
      </x:c>
      <x:c r="E49" s="40" t="n">
        <x:v>4118</x:v>
      </x:c>
      <x:c r="F49" s="34" t="str">
        <x:v>tracked-clean</x:v>
      </x:c>
      <x:c r="G49" s="34" t="str">
        <x:v>tracked-clean</x:v>
      </x:c>
      <x:c r="H49" s="34" t="str">
        <x:v>candidate-requirement</x:v>
      </x:c>
      <x:c r="I49" s="34" t="str">
        <x:v>R03-C</x:v>
      </x:c>
      <x:c r="J49" s="34" t="str">
        <x:v>unapproved-use-case-candidate-for-human-review</x:v>
      </x:c>
      <x:c r="K49" s="34" t="str">
        <x:v>`C`；`49` 版是 StationDeparture/StopClosure 候选，旧“批次人工确认”语义已被替代；不得继承旧版确认。</x:v>
      </x:c>
      <x:c r="L49" s="34" t="str">
        <x:v>[UC-002](../../../../requirement-documents/03-use-cases/01-site-operations/uc-002-confirm-task-completion.md) `00e4d1ea89c4`；`96→0b→ec→49`; 从原装货结束场景演化为结束当前站装货；无 `related_br`</x:v>
      </x:c>
      <x:c r="M49" s="52" t="str">
        <x:v>not-found</x:v>
      </x:c>
      <x:c r="N49" s="52" t="str">
        <x:v>not-found</x:v>
      </x:c>
      <x:c r="O49" s="52" t="str">
        <x:v>not-found</x:v>
      </x:c>
      <x:c r="P49" s="52" t="str">
        <x:v>not-found</x:v>
      </x:c>
      <x:c r="Q49" s="55" t="str">
        <x:v>not-approved-by-this-classification</x:v>
      </x:c>
      <x:c r="R49" s="34" t="str">
        <x:v>candidate-only-after-flow-level-decomposition-evidence-review-and-explicit-approval</x:v>
      </x:c>
      <x:c r="S49" s="34" t="str">
        <x:v>`C`；`49` 版是 StationDeparture/StopClosure 候选，旧“批次人工确认”语义已被替代；不得继承旧版确认。; detailed record: R03-use-cases.md line 28</x:v>
      </x:c>
      <x:c r="T49" s="35" t="str">
        <x:v>R03-use-cases.md:28</x:v>
      </x:c>
    </x:row>
    <x:row r="50" ht="48" customHeight="1">
      <x:c r="A50" s="44" t="str">
        <x:v>R03-03</x:v>
      </x:c>
      <x:c r="B50" s="45" t="str">
        <x:v>R03</x:v>
      </x:c>
      <x:c r="C50" s="34" t="str">
        <x:v>requirement-documents/03-use-cases/01-site-operations/uc-003-agv-arrives-at-designated-station.md</x:v>
      </x:c>
      <x:c r="D50" s="49" t="str">
        <x:v>6131ca69ef26e1021662d156a193e52b36b07f696720d0b7fa94c0d1abf8e648</x:v>
      </x:c>
      <x:c r="E50" s="40" t="n">
        <x:v>9036</x:v>
      </x:c>
      <x:c r="F50" s="34" t="str">
        <x:v>tracked-clean</x:v>
      </x:c>
      <x:c r="G50" s="34" t="str">
        <x:v>tracked-clean</x:v>
      </x:c>
      <x:c r="H50" s="34" t="str">
        <x:v>candidate-requirement</x:v>
      </x:c>
      <x:c r="I50" s="34" t="str">
        <x:v>R03-C</x:v>
      </x:c>
      <x:c r="J50" s="34" t="str">
        <x:v>unapproved-use-case-candidate-for-human-review</x:v>
      </x:c>
      <x:c r="K50" s="34" t="str">
        <x:v>`C`；可送审“到站后用户看到什么”，但软件权威投影属内部设计；1 TBD，边界须与 UC-009 一起审。</x:v>
      </x:c>
      <x:c r="L50" s="34" t="str">
        <x:v>[UC-003](../../../../requirement-documents/03-use-cases/01-site-operations/uc-003-agv-arrives-at-designated-station.md) `6131ca69ef26`；`96→0b→48→49`; 从 UC-001 拆分，又把轮询到站拆给 UC-009；BR-001；当前只覆盖可信到站事件后的状态/投影/HMI</x:v>
      </x:c>
      <x:c r="M50" s="52" t="str">
        <x:v>not-found</x:v>
      </x:c>
      <x:c r="N50" s="52" t="str">
        <x:v>not-found</x:v>
      </x:c>
      <x:c r="O50" s="52" t="str">
        <x:v>not-found</x:v>
      </x:c>
      <x:c r="P50" s="52" t="str">
        <x:v>not-found</x:v>
      </x:c>
      <x:c r="Q50" s="55" t="str">
        <x:v>not-approved-by-this-classification</x:v>
      </x:c>
      <x:c r="R50" s="34" t="str">
        <x:v>candidate-only-after-flow-level-decomposition-evidence-review-and-explicit-approval</x:v>
      </x:c>
      <x:c r="S50" s="34" t="str">
        <x:v>`C`；可送审“到站后用户看到什么”，但软件权威投影属内部设计；1 TBD，边界须与 UC-009 一起审。; detailed record: R03-use-cases.md line 29</x:v>
      </x:c>
      <x:c r="T50" s="35" t="str">
        <x:v>R03-use-cases.md:29</x:v>
      </x:c>
    </x:row>
    <x:row r="51" ht="48" customHeight="1">
      <x:c r="A51" s="44" t="str">
        <x:v>R03-04</x:v>
      </x:c>
      <x:c r="B51" s="45" t="str">
        <x:v>R03</x:v>
      </x:c>
      <x:c r="C51" s="34" t="str">
        <x:v>requirement-documents/03-use-cases/01-site-operations/uc-005-retrieve-mis-stored-product-from-slot.md</x:v>
      </x:c>
      <x:c r="D51" s="49" t="str">
        <x:v>b8dad821f105bc6a333e1a3938d320cc241c42cf396d3295766178dba96b0074</x:v>
      </x:c>
      <x:c r="E51" s="40" t="n">
        <x:v>6044</x:v>
      </x:c>
      <x:c r="F51" s="34" t="str">
        <x:v>tracked-clean</x:v>
      </x:c>
      <x:c r="G51" s="34" t="str">
        <x:v>tracked-clean</x:v>
      </x:c>
      <x:c r="H51" s="34" t="str">
        <x:v>candidate-requirement</x:v>
      </x:c>
      <x:c r="I51" s="34" t="str">
        <x:v>R03-C</x:v>
      </x:c>
      <x:c r="J51" s="34" t="str">
        <x:v>unapproved-use-case-candidate-for-human-review</x:v>
      </x:c>
      <x:c r="K51" s="34" t="str">
        <x:v>`C`；可送审的现场纠错候选，但 `49` 内部状态机不能由“放错需取出”反推已批准。</x:v>
      </x:c>
      <x:c r="L51" s="34" t="str">
        <x:v>[UC-005](../../../../requirement-documents/03-use-cases/01-site-operations/uc-005-retrieve-mis-stored-product-from-slot.md) `b8dad821f105`；`96→0b→48→ec→49`; 从 UC-001 放错异常拆分；后续改为 LoadCorrection/原仓位重放；无 `related_br`</x:v>
      </x:c>
      <x:c r="M51" s="52" t="str">
        <x:v>not-found</x:v>
      </x:c>
      <x:c r="N51" s="52" t="str">
        <x:v>not-found</x:v>
      </x:c>
      <x:c r="O51" s="52" t="str">
        <x:v>not-found</x:v>
      </x:c>
      <x:c r="P51" s="52" t="str">
        <x:v>not-found</x:v>
      </x:c>
      <x:c r="Q51" s="55" t="str">
        <x:v>not-approved-by-this-classification</x:v>
      </x:c>
      <x:c r="R51" s="34" t="str">
        <x:v>candidate-only-after-flow-level-decomposition-evidence-review-and-explicit-approval</x:v>
      </x:c>
      <x:c r="S51" s="34" t="str">
        <x:v>`C`；可送审的现场纠错候选，但 `49` 内部状态机不能由“放错需取出”反推已批准。; detailed record: R03-use-cases.md line 30</x:v>
      </x:c>
      <x:c r="T51" s="35" t="str">
        <x:v>R03-use-cases.md:30</x:v>
      </x:c>
    </x:row>
    <x:row r="52" ht="48" customHeight="1">
      <x:c r="A52" s="44" t="str">
        <x:v>R03-05</x:v>
      </x:c>
      <x:c r="B52" s="45" t="str">
        <x:v>R03</x:v>
      </x:c>
      <x:c r="C52" s="34" t="str">
        <x:v>requirement-documents/03-use-cases/01-site-operations/uc-006-cancel-transport-task-upon-arrival.md</x:v>
      </x:c>
      <x:c r="D52" s="49" t="str">
        <x:v>d99f3254a682a9b1b9e21fcf7daab9f6f5c431fb287c248108c2ac6db4ccaf01</x:v>
      </x:c>
      <x:c r="E52" s="40" t="n">
        <x:v>6755</x:v>
      </x:c>
      <x:c r="F52" s="34" t="str">
        <x:v>tracked-clean</x:v>
      </x:c>
      <x:c r="G52" s="34" t="str">
        <x:v>tracked-clean</x:v>
      </x:c>
      <x:c r="H52" s="34" t="str">
        <x:v>candidate-requirement</x:v>
      </x:c>
      <x:c r="I52" s="34" t="str">
        <x:v>R03-C</x:v>
      </x:c>
      <x:c r="J52" s="34" t="str">
        <x:v>unapproved-use-case-candidate-for-human-review</x:v>
      </x:c>
      <x:c r="K52" s="34" t="str">
        <x:v>`C`；取消用户目标可送审；`49` 的硬件闭环、多 SUBLOT 隔离和抑制语义是内部细化。</x:v>
      </x:c>
      <x:c r="L52" s="34" t="str">
        <x:v>[UC-006](../../../../requirement-documents/03-use-cases/01-site-operations/uc-006-cancel-transport-task-upon-arrival.md) `d99f3254a682`；`96→0b→48→ec→49`; 从到站取消场景演化为离站前按 DemandId 清空并取消；无 `related_br`</x:v>
      </x:c>
      <x:c r="M52" s="52" t="str">
        <x:v>not-found</x:v>
      </x:c>
      <x:c r="N52" s="52" t="str">
        <x:v>not-found</x:v>
      </x:c>
      <x:c r="O52" s="52" t="str">
        <x:v>not-found</x:v>
      </x:c>
      <x:c r="P52" s="52" t="str">
        <x:v>not-found</x:v>
      </x:c>
      <x:c r="Q52" s="55" t="str">
        <x:v>not-approved-by-this-classification</x:v>
      </x:c>
      <x:c r="R52" s="34" t="str">
        <x:v>candidate-only-after-flow-level-decomposition-evidence-review-and-explicit-approval</x:v>
      </x:c>
      <x:c r="S52" s="34" t="str">
        <x:v>`C`；取消用户目标可送审；`49` 的硬件闭环、多 SUBLOT 隔离和抑制语义是内部细化。; detailed record: R03-use-cases.md line 31</x:v>
      </x:c>
      <x:c r="T52" s="35" t="str">
        <x:v>R03-use-cases.md:31</x:v>
      </x:c>
    </x:row>
    <x:row r="53" ht="48" customHeight="1">
      <x:c r="A53" s="44" t="str">
        <x:v>R03-06</x:v>
      </x:c>
      <x:c r="B53" s="45" t="str">
        <x:v>R03</x:v>
      </x:c>
      <x:c r="C53" s="34" t="str">
        <x:v>requirement-documents/03-use-cases/01-site-operations/uc-010-unload-completed-lot-at-destination-station.md</x:v>
      </x:c>
      <x:c r="D53" s="49" t="str">
        <x:v>727d84c8dfd57d89ef020f91ff6c13d0b19144dcdf2333bb029487c9763818c3</x:v>
      </x:c>
      <x:c r="E53" s="40" t="n">
        <x:v>13216</x:v>
      </x:c>
      <x:c r="F53" s="34" t="str">
        <x:v>tracked-clean</x:v>
      </x:c>
      <x:c r="G53" s="34" t="str">
        <x:v>tracked-clean</x:v>
      </x:c>
      <x:c r="H53" s="34" t="str">
        <x:v>candidate-requirement</x:v>
      </x:c>
      <x:c r="I53" s="34" t="str">
        <x:v>R03-C</x:v>
      </x:c>
      <x:c r="J53" s="34" t="str">
        <x:v>unapproved-use-case-candidate-for-human-review</x:v>
      </x:c>
      <x:c r="K53" s="34" t="str">
        <x:v>`C`；这是直接送审价值最高的 UC 之一，但根原始文件本身也无批准链；3 TBD，`49` 已改写卸货完成语义。</x:v>
      </x:c>
      <x:c r="L53" s="34" t="str">
        <x:v>[UC-010](../../../../requirement-documents/03-use-cases/01-site-operations/uc-010-unload-completed-lot-at-destination-station.md) `727d84c8dfd5`；`96→0b→48→ec→49`; 文档明说从根 [user case.md](../../../../requirement-documents/user%20case.md) 的工艺起终点场景拆分；BR-013/014；范围是终点自动识别与卸货</x:v>
      </x:c>
      <x:c r="M53" s="52" t="str">
        <x:v>not-found</x:v>
      </x:c>
      <x:c r="N53" s="52" t="str">
        <x:v>not-found</x:v>
      </x:c>
      <x:c r="O53" s="52" t="str">
        <x:v>not-found</x:v>
      </x:c>
      <x:c r="P53" s="52" t="str">
        <x:v>not-found</x:v>
      </x:c>
      <x:c r="Q53" s="55" t="str">
        <x:v>not-approved-by-this-classification</x:v>
      </x:c>
      <x:c r="R53" s="34" t="str">
        <x:v>candidate-only-after-flow-level-decomposition-evidence-review-and-explicit-approval</x:v>
      </x:c>
      <x:c r="S53" s="34" t="str">
        <x:v>`C`；这是直接送审价值最高的 UC 之一，但根原始文件本身也无批准链；3 TBD，`49` 已改写卸货完成语义。; detailed record: R03-use-cases.md line 32</x:v>
      </x:c>
      <x:c r="T53" s="35" t="str">
        <x:v>R03-use-cases.md:32</x:v>
      </x:c>
    </x:row>
    <x:row r="54" ht="48" customHeight="1">
      <x:c r="A54" s="44" t="str">
        <x:v>R03-07</x:v>
      </x:c>
      <x:c r="B54" s="45" t="str">
        <x:v>R03</x:v>
      </x:c>
      <x:c r="C54" s="34" t="str">
        <x:v>requirement-documents/03-use-cases/01-site-operations/uc-043-verify-identity-and-manage-operation-session.md</x:v>
      </x:c>
      <x:c r="D54" s="49" t="str">
        <x:v>338b82a1c9ed7afe452d6805045b6223875498ca41b9c9f53932f9699df7df23</x:v>
      </x:c>
      <x:c r="E54" s="40" t="n">
        <x:v>6570</x:v>
      </x:c>
      <x:c r="F54" s="34" t="str">
        <x:v>tracked-clean</x:v>
      </x:c>
      <x:c r="G54" s="34" t="str">
        <x:v>tracked-clean</x:v>
      </x:c>
      <x:c r="H54" s="34" t="str">
        <x:v>candidate-requirement</x:v>
      </x:c>
      <x:c r="I54" s="34" t="str">
        <x:v>R03-I</x:v>
      </x:c>
      <x:c r="J54" s="34" t="str">
        <x:v>unapproved-internal-design-exploration</x:v>
      </x:c>
      <x:c r="K54" s="34" t="str">
        <x:v>`I`；`49` 版是 8005 装货身份/会话内部设计；必须由生产、MES/IT、权限责任方送审，不是原始客户用例。</x:v>
      </x:c>
      <x:c r="L54" s="34" t="str">
        <x:v>[UC-043](../../../../requirement-documents/03-use-cases/01-site-operations/uc-043-verify-identity-and-manage-operation-session.md) `338b82a1c9ed`；`ec→49`; 后期为 UC-001/002/005/006/010 补的身份核验和操作会话；无 BR</x:v>
      </x:c>
      <x:c r="M54" s="52" t="str">
        <x:v>not-found</x:v>
      </x:c>
      <x:c r="N54" s="52" t="str">
        <x:v>not-found</x:v>
      </x:c>
      <x:c r="O54" s="52" t="str">
        <x:v>not-found</x:v>
      </x:c>
      <x:c r="P54" s="52" t="str">
        <x:v>not-found</x:v>
      </x:c>
      <x:c r="Q54" s="55" t="str">
        <x:v>not-approved-by-this-classification</x:v>
      </x:c>
      <x:c r="R54" s="34" t="str">
        <x:v>split-business-design-interface-and-safety-claims-before-evidence-review-and-explicit-approval</x:v>
      </x:c>
      <x:c r="S54" s="34" t="str">
        <x:v>`I`；`49` 版是 8005 装货身份/会话内部设计；必须由生产、MES/IT、权限责任方送审，不是原始客户用例。; detailed record: R03-use-cases.md line 33</x:v>
      </x:c>
      <x:c r="T54" s="35" t="str">
        <x:v>R03-use-cases.md:33</x:v>
      </x:c>
    </x:row>
    <x:row r="55" ht="48" customHeight="1">
      <x:c r="A55" s="44" t="str">
        <x:v>R03-08</x:v>
      </x:c>
      <x:c r="B55" s="45" t="str">
        <x:v>R03</x:v>
      </x:c>
      <x:c r="C55" s="34" t="str">
        <x:v>requirement-documents/03-use-cases/01-site-operations/uc-044-reopen-slot-after-incomplete-retrieval.md</x:v>
      </x:c>
      <x:c r="D55" s="49" t="str">
        <x:v>2fe7f7bdc580c01f9f239e0ed8b6239a7ed5c57f9d73f619cba5f8fbcda3c56f</x:v>
      </x:c>
      <x:c r="E55" s="40" t="n">
        <x:v>6420</x:v>
      </x:c>
      <x:c r="F55" s="34" t="str">
        <x:v>tracked-clean</x:v>
      </x:c>
      <x:c r="G55" s="34" t="str">
        <x:v>tracked-clean</x:v>
      </x:c>
      <x:c r="H55" s="34" t="str">
        <x:v>candidate-requirement</x:v>
      </x:c>
      <x:c r="I55" s="34" t="str">
        <x:v>R03-I</x:v>
      </x:c>
      <x:c r="J55" s="34" t="str">
        <x:v>unapproved-internal-design-exploration</x:v>
      </x:c>
      <x:c r="K55" s="34" t="str">
        <x:v>`I`；作为卸货闭环子流程仍当前被 FR/TC 引用，但“无强制放行上限、自动重开”需安全与现场专项审查。</x:v>
      </x:c>
      <x:c r="L55" s="34" t="str">
        <x:v>[UC-044](../../../../requirement-documents/03-use-cases/01-site-operations/uc-044-reopen-slot-after-incomplete-retrieval.md) `2fe7f7bdc580`；`ec→49`; 从 UC-010 旧 E4.1 残留异常拆分；无 BR</x:v>
      </x:c>
      <x:c r="M55" s="52" t="str">
        <x:v>not-found</x:v>
      </x:c>
      <x:c r="N55" s="52" t="str">
        <x:v>not-found</x:v>
      </x:c>
      <x:c r="O55" s="52" t="str">
        <x:v>not-found</x:v>
      </x:c>
      <x:c r="P55" s="52" t="str">
        <x:v>not-found</x:v>
      </x:c>
      <x:c r="Q55" s="55" t="str">
        <x:v>not-approved-by-this-classification</x:v>
      </x:c>
      <x:c r="R55" s="34" t="str">
        <x:v>split-business-design-interface-and-safety-claims-before-evidence-review-and-explicit-approval</x:v>
      </x:c>
      <x:c r="S55" s="34" t="str">
        <x:v>`I`；作为卸货闭环子流程仍当前被 FR/TC 引用，但“无强制放行上限、自动重开”需安全与现场专项审查。; detailed record: R03-use-cases.md line 34</x:v>
      </x:c>
      <x:c r="T55" s="35" t="str">
        <x:v>R03-use-cases.md:34</x:v>
      </x:c>
    </x:row>
    <x:row r="56" ht="48" customHeight="1">
      <x:c r="A56" s="44" t="str">
        <x:v>R03-09</x:v>
      </x:c>
      <x:c r="B56" s="45" t="str">
        <x:v>R03</x:v>
      </x:c>
      <x:c r="C56" s="34" t="str">
        <x:v>requirement-documents/03-use-cases/01-site-operations/uc-046-handle-station-departure-wait-timeout.md</x:v>
      </x:c>
      <x:c r="D56" s="49" t="str">
        <x:v>d1cb766bd7d6590d65986fe78ff89519e7dc7cbe67536e03a87e5af703febeed</x:v>
      </x:c>
      <x:c r="E56" s="40" t="n">
        <x:v>5113</x:v>
      </x:c>
      <x:c r="F56" s="34" t="str">
        <x:v>tracked-clean</x:v>
      </x:c>
      <x:c r="G56" s="34" t="str">
        <x:v>tracked-clean</x:v>
      </x:c>
      <x:c r="H56" s="34" t="str">
        <x:v>candidate-requirement</x:v>
      </x:c>
      <x:c r="I56" s="34" t="str">
        <x:v>R03-I</x:v>
      </x:c>
      <x:c r="J56" s="34" t="str">
        <x:v>unapproved-internal-design-exploration</x:v>
      </x:c>
      <x:c r="K56" s="34" t="str">
        <x:v>`I`；与 FR-031/ADR-0055 一起是当前内部超时方案，不是可证明的用户目标；默认时间/HMI/自动结束需逐项送审。</x:v>
      </x:c>
      <x:c r="L56" s="34" t="str">
        <x:v>[UC-046](../../../../requirement-documents/03-use-cases/01-site-operations/uc-046-handle-station-departure-wait-timeout.md) `d1cb766bd7d6`；`49`; 仅在车载—服务端权威改写中形成；无 BR；范围是 StationDepartureWaiting 超时内部过程</x:v>
      </x:c>
      <x:c r="M56" s="52" t="str">
        <x:v>not-found</x:v>
      </x:c>
      <x:c r="N56" s="52" t="str">
        <x:v>not-found</x:v>
      </x:c>
      <x:c r="O56" s="52" t="str">
        <x:v>not-found</x:v>
      </x:c>
      <x:c r="P56" s="52" t="str">
        <x:v>not-found</x:v>
      </x:c>
      <x:c r="Q56" s="55" t="str">
        <x:v>not-approved-by-this-classification</x:v>
      </x:c>
      <x:c r="R56" s="34" t="str">
        <x:v>split-business-design-interface-and-safety-claims-before-evidence-review-and-explicit-approval</x:v>
      </x:c>
      <x:c r="S56" s="34" t="str">
        <x:v>`I`；与 FR-031/ADR-0055 一起是当前内部超时方案，不是可证明的用户目标；默认时间/HMI/自动结束需逐项送审。; detailed record: R03-use-cases.md line 35</x:v>
      </x:c>
      <x:c r="T56" s="35" t="str">
        <x:v>R03-use-cases.md:35</x:v>
      </x:c>
    </x:row>
    <x:row r="57" ht="48" customHeight="1">
      <x:c r="A57" s="44" t="str">
        <x:v>R03-10</x:v>
      </x:c>
      <x:c r="B57" s="45" t="str">
        <x:v>R03</x:v>
      </x:c>
      <x:c r="C57" s="34" t="str">
        <x:v>requirement-documents/03-use-cases/02-slot-and-hardware/uc-011-view-slot-monitoring-dashboard.md</x:v>
      </x:c>
      <x:c r="D57" s="49" t="str">
        <x:v>212495ce9b6ac51de971d84a040dc45526972038f999970e9e1d75f82d4cf50f</x:v>
      </x:c>
      <x:c r="E57" s="40" t="n">
        <x:v>8437</x:v>
      </x:c>
      <x:c r="F57" s="34" t="str">
        <x:v>tracked-clean</x:v>
      </x:c>
      <x:c r="G57" s="34" t="str">
        <x:v>tracked-clean</x:v>
      </x:c>
      <x:c r="H57" s="34" t="str">
        <x:v>candidate-requirement</x:v>
      </x:c>
      <x:c r="I57" s="34" t="str">
        <x:v>R03-C</x:v>
      </x:c>
      <x:c r="J57" s="34" t="str">
        <x:v>unapproved-use-case-candidate-for-human-review</x:v>
      </x:c>
      <x:c r="K57" s="34" t="str">
        <x:v>`C`；用户目标可送审；3 TBD，显示字段、可见范围、刷新频率未定。</x:v>
      </x:c>
      <x:c r="L57" s="34" t="str">
        <x:v>[UC-011](../../../../requirement-documents/03-use-cases/02-slot-and-hardware/uc-011-view-slot-monitoring-dashboard.md) `212495ce9b6a`；`96→0b→49`; 自述来自用户对仓位状态看板的讨论；无 BR；只读监控</x:v>
      </x:c>
      <x:c r="M57" s="52" t="str">
        <x:v>not-found</x:v>
      </x:c>
      <x:c r="N57" s="52" t="str">
        <x:v>not-found</x:v>
      </x:c>
      <x:c r="O57" s="52" t="str">
        <x:v>not-found</x:v>
      </x:c>
      <x:c r="P57" s="52" t="str">
        <x:v>not-found</x:v>
      </x:c>
      <x:c r="Q57" s="55" t="str">
        <x:v>not-approved-by-this-classification</x:v>
      </x:c>
      <x:c r="R57" s="34" t="str">
        <x:v>candidate-only-after-flow-level-decomposition-evidence-review-and-explicit-approval</x:v>
      </x:c>
      <x:c r="S57" s="34" t="str">
        <x:v>`C`；用户目标可送审；3 TBD，显示字段、可见范围、刷新频率未定。; detailed record: R03-use-cases.md line 41</x:v>
      </x:c>
      <x:c r="T57" s="35" t="str">
        <x:v>R03-use-cases.md:41</x:v>
      </x:c>
    </x:row>
    <x:row r="58" ht="48" customHeight="1">
      <x:c r="A58" s="44" t="str">
        <x:v>R03-11</x:v>
      </x:c>
      <x:c r="B58" s="45" t="str">
        <x:v>R03</x:v>
      </x:c>
      <x:c r="C58" s="34" t="str">
        <x:v>requirement-documents/03-use-cases/02-slot-and-hardware/uc-014-enable-disable-slot.md</x:v>
      </x:c>
      <x:c r="D58" s="49" t="str">
        <x:v>2bf87510f46481a8adae2f7d3a34bf6875f0fb79fa0fb8d049899bb132a82812</x:v>
      </x:c>
      <x:c r="E58" s="40" t="n">
        <x:v>3383</x:v>
      </x:c>
      <x:c r="F58" s="34" t="str">
        <x:v>tracked-clean</x:v>
      </x:c>
      <x:c r="G58" s="34" t="str">
        <x:v>tracked-clean</x:v>
      </x:c>
      <x:c r="H58" s="34" t="str">
        <x:v>candidate-requirement</x:v>
      </x:c>
      <x:c r="I58" s="34" t="str">
        <x:v>R03-C</x:v>
      </x:c>
      <x:c r="J58" s="34" t="str">
        <x:v>unapproved-use-case-candidate-for-human-review</x:v>
      </x:c>
      <x:c r="K58" s="34" t="str">
        <x:v>`C`；可送审启停规则，但 Actor 仍“待定”，状态模型是内部候选。</x:v>
      </x:c>
      <x:c r="L58" s="34" t="str">
        <x:v>[UC-014](../../../../requirement-documents/03-use-cases/02-slot-and-hardware/uc-014-enable-disable-slot.md) `2bf87510f464`；`96→0b→48→49`; 仓位管理用户目标；无 BR；`49` 将管理可用性与物理事实分离</x:v>
      </x:c>
      <x:c r="M58" s="52" t="str">
        <x:v>not-found</x:v>
      </x:c>
      <x:c r="N58" s="52" t="str">
        <x:v>not-found</x:v>
      </x:c>
      <x:c r="O58" s="52" t="str">
        <x:v>not-found</x:v>
      </x:c>
      <x:c r="P58" s="52" t="str">
        <x:v>not-found</x:v>
      </x:c>
      <x:c r="Q58" s="55" t="str">
        <x:v>not-approved-by-this-classification</x:v>
      </x:c>
      <x:c r="R58" s="34" t="str">
        <x:v>candidate-only-after-flow-level-decomposition-evidence-review-and-explicit-approval</x:v>
      </x:c>
      <x:c r="S58" s="34" t="str">
        <x:v>`C`；可送审启停规则，但 Actor 仍“待定”，状态模型是内部候选。; detailed record: R03-use-cases.md line 42</x:v>
      </x:c>
      <x:c r="T58" s="35" t="str">
        <x:v>R03-use-cases.md:42</x:v>
      </x:c>
    </x:row>
    <x:row r="59" ht="48" customHeight="1">
      <x:c r="A59" s="44" t="str">
        <x:v>R03-12</x:v>
      </x:c>
      <x:c r="B59" s="45" t="str">
        <x:v>R03</x:v>
      </x:c>
      <x:c r="C59" s="34" t="str">
        <x:v>requirement-documents/03-use-cases/02-slot-and-hardware/uc-015-slot-door-unlock-open-test.md</x:v>
      </x:c>
      <x:c r="D59" s="49" t="str">
        <x:v>7a5f4325d17ad9b2543efbadfc411e2e5d3a85a66979a25f42495a9d8045ac02</x:v>
      </x:c>
      <x:c r="E59" s="40" t="n">
        <x:v>7068</x:v>
      </x:c>
      <x:c r="F59" s="34" t="str">
        <x:v>tracked-clean</x:v>
      </x:c>
      <x:c r="G59" s="34" t="str">
        <x:v>tracked-clean</x:v>
      </x:c>
      <x:c r="H59" s="34" t="str">
        <x:v>candidate-requirement</x:v>
      </x:c>
      <x:c r="I59" s="34" t="str">
        <x:v>R03-C</x:v>
      </x:c>
      <x:c r="J59" s="34" t="str">
        <x:v>unapproved-use-case-candidate-for-human-review</x:v>
      </x:c>
      <x:c r="K59" s="34" t="str">
        <x:v>`C`；硬件维护场景可送审；必须与 UC-004 安全联锁、UC-039 点位前提一起审。</x:v>
      </x:c>
      <x:c r="L59" s="34" t="str">
        <x:v>[UC-015](../../../../requirement-documents/03-use-cases/02-slot-and-hardware/uc-015-slot-door-unlock-open-test.md) `7a5f4325d17a`；`96→0b→48→49`; 自述为用户提出的开锁/弹开测试；无 BR</x:v>
      </x:c>
      <x:c r="M59" s="52" t="str">
        <x:v>not-found</x:v>
      </x:c>
      <x:c r="N59" s="52" t="str">
        <x:v>not-found</x:v>
      </x:c>
      <x:c r="O59" s="52" t="str">
        <x:v>not-found</x:v>
      </x:c>
      <x:c r="P59" s="52" t="str">
        <x:v>not-found</x:v>
      </x:c>
      <x:c r="Q59" s="55" t="str">
        <x:v>not-approved-by-this-classification</x:v>
      </x:c>
      <x:c r="R59" s="34" t="str">
        <x:v>candidate-only-after-flow-level-decomposition-evidence-review-and-explicit-approval</x:v>
      </x:c>
      <x:c r="S59" s="34" t="str">
        <x:v>`C`；硬件维护场景可送审；必须与 UC-004 安全联锁、UC-039 点位前提一起审。; detailed record: R03-use-cases.md line 43</x:v>
      </x:c>
      <x:c r="T59" s="35" t="str">
        <x:v>R03-use-cases.md:43</x:v>
      </x:c>
    </x:row>
    <x:row r="60" ht="48" customHeight="1">
      <x:c r="A60" s="44" t="str">
        <x:v>R03-13</x:v>
      </x:c>
      <x:c r="B60" s="45" t="str">
        <x:v>R03</x:v>
      </x:c>
      <x:c r="C60" s="34" t="str">
        <x:v>requirement-documents/03-use-cases/02-slot-and-hardware/uc-016-slot-light-curtain-function-test.md</x:v>
      </x:c>
      <x:c r="D60" s="49" t="str">
        <x:v>cb653b589118b82f67d71565042991eafe3aeadb114e8b80c4a5a94f2c9dd0aa</x:v>
      </x:c>
      <x:c r="E60" s="40" t="n">
        <x:v>8099</x:v>
      </x:c>
      <x:c r="F60" s="34" t="str">
        <x:v>tracked-clean</x:v>
      </x:c>
      <x:c r="G60" s="34" t="str">
        <x:v>tracked-clean</x:v>
      </x:c>
      <x:c r="H60" s="34" t="str">
        <x:v>candidate-requirement</x:v>
      </x:c>
      <x:c r="I60" s="34" t="str">
        <x:v>R03-C</x:v>
      </x:c>
      <x:c r="J60" s="34" t="str">
        <x:v>unapproved-use-case-candidate-for-human-review</x:v>
      </x:c>
      <x:c r="K60" s="34" t="str">
        <x:v>`C`；场景可送审；2 TBD，主参与者仍未最终确认。</x:v>
      </x:c>
      <x:c r="L60" s="34" t="str">
        <x:v>[UC-016](../../../../requirement-documents/03-use-cases/02-slot-and-hardware/uc-016-slot-light-curtain-function-test.md) `cb653b589118`；`96→0b→49`; 自述为用户提出的光幕功能测试；无 BR</x:v>
      </x:c>
      <x:c r="M60" s="52" t="str">
        <x:v>not-found</x:v>
      </x:c>
      <x:c r="N60" s="52" t="str">
        <x:v>not-found</x:v>
      </x:c>
      <x:c r="O60" s="52" t="str">
        <x:v>not-found</x:v>
      </x:c>
      <x:c r="P60" s="52" t="str">
        <x:v>not-found</x:v>
      </x:c>
      <x:c r="Q60" s="55" t="str">
        <x:v>not-approved-by-this-classification</x:v>
      </x:c>
      <x:c r="R60" s="34" t="str">
        <x:v>candidate-only-after-flow-level-decomposition-evidence-review-and-explicit-approval</x:v>
      </x:c>
      <x:c r="S60" s="34" t="str">
        <x:v>`C`；场景可送审；2 TBD，主参与者仍未最终确认。; detailed record: R03-use-cases.md line 44</x:v>
      </x:c>
      <x:c r="T60" s="35" t="str">
        <x:v>R03-use-cases.md:44</x:v>
      </x:c>
    </x:row>
    <x:row r="61" ht="48" customHeight="1">
      <x:c r="A61" s="44" t="str">
        <x:v>R03-14</x:v>
      </x:c>
      <x:c r="B61" s="45" t="str">
        <x:v>R03</x:v>
      </x:c>
      <x:c r="C61" s="34" t="str">
        <x:v>requirement-documents/03-use-cases/02-slot-and-hardware/uc-017-slot-door-state-detection-test.md</x:v>
      </x:c>
      <x:c r="D61" s="49" t="str">
        <x:v>c1b094aa68a0de89a714806bf9fdd16a42afd8a6beb992dcb262eb4612833e67</x:v>
      </x:c>
      <x:c r="E61" s="40" t="n">
        <x:v>4142</x:v>
      </x:c>
      <x:c r="F61" s="34" t="str">
        <x:v>tracked-clean</x:v>
      </x:c>
      <x:c r="G61" s="34" t="str">
        <x:v>tracked-clean</x:v>
      </x:c>
      <x:c r="H61" s="34" t="str">
        <x:v>candidate-requirement</x:v>
      </x:c>
      <x:c r="I61" s="34" t="str">
        <x:v>R03-C</x:v>
      </x:c>
      <x:c r="J61" s="34" t="str">
        <x:v>unapproved-use-case-candidate-for-human-review</x:v>
      </x:c>
      <x:c r="K61" s="34" t="str">
        <x:v>`C`；维护测试候选；需硬件/IO 责任人确认信号能力与适用车型。</x:v>
      </x:c>
      <x:c r="L61" s="34" t="str">
        <x:v>[UC-017](../../../../requirement-documents/03-use-cases/02-slot-and-hardware/uc-017-slot-door-state-detection-test.md) `c1b094aa68a0`；`96→0b→49`; 仓锁反馈/闩合识别测试；无 BR；`49` 吸收“无独立门磁”内部结论</x:v>
      </x:c>
      <x:c r="M61" s="52" t="str">
        <x:v>not-found</x:v>
      </x:c>
      <x:c r="N61" s="52" t="str">
        <x:v>not-found</x:v>
      </x:c>
      <x:c r="O61" s="52" t="str">
        <x:v>not-found</x:v>
      </x:c>
      <x:c r="P61" s="52" t="str">
        <x:v>not-found</x:v>
      </x:c>
      <x:c r="Q61" s="55" t="str">
        <x:v>not-approved-by-this-classification</x:v>
      </x:c>
      <x:c r="R61" s="34" t="str">
        <x:v>candidate-only-after-flow-level-decomposition-evidence-review-and-explicit-approval</x:v>
      </x:c>
      <x:c r="S61" s="34" t="str">
        <x:v>`C`；维护测试候选；需硬件/IO 责任人确认信号能力与适用车型。; detailed record: R03-use-cases.md line 45</x:v>
      </x:c>
      <x:c r="T61" s="35" t="str">
        <x:v>R03-use-cases.md:45</x:v>
      </x:c>
    </x:row>
    <x:row r="62" ht="48" customHeight="1">
      <x:c r="A62" s="44" t="str">
        <x:v>R03-15</x:v>
      </x:c>
      <x:c r="B62" s="45" t="str">
        <x:v>R03</x:v>
      </x:c>
      <x:c r="C62" s="34" t="str">
        <x:v>requirement-documents/03-use-cases/02-slot-and-hardware/uc-018-io-point-mapping-verification-test.md</x:v>
      </x:c>
      <x:c r="D62" s="49" t="str">
        <x:v>dd1965f4af48a0c4499646897a929ef70fce7b08f6d6c07763a9797d9665aacf</x:v>
      </x:c>
      <x:c r="E62" s="40" t="n">
        <x:v>10026</x:v>
      </x:c>
      <x:c r="F62" s="34" t="str">
        <x:v>tracked-clean</x:v>
      </x:c>
      <x:c r="G62" s="34" t="str">
        <x:v>tracked-clean</x:v>
      </x:c>
      <x:c r="H62" s="34" t="str">
        <x:v>candidate-requirement</x:v>
      </x:c>
      <x:c r="I62" s="34" t="str">
        <x:v>R03-C</x:v>
      </x:c>
      <x:c r="J62" s="34" t="str">
        <x:v>unapproved-use-case-candidate-for-human-review</x:v>
      </x:c>
      <x:c r="K62" s="34" t="str">
        <x:v>`C`；场景可送审；2 TBD，Actor/是否自动化未定，不得用现有测试通过反推需求正确。</x:v>
      </x:c>
      <x:c r="L62" s="34" t="str">
        <x:v>[UC-018](../../../../requirement-documents/03-use-cases/02-slot-and-hardware/uc-018-io-point-mapping-verification-test.md) `dd1965f4af48`；`96→0b→48→49`; 自述为用户提出的 IO 映射双向核对；无 BR</x:v>
      </x:c>
      <x:c r="M62" s="52" t="str">
        <x:v>not-found</x:v>
      </x:c>
      <x:c r="N62" s="52" t="str">
        <x:v>not-found</x:v>
      </x:c>
      <x:c r="O62" s="52" t="str">
        <x:v>not-found</x:v>
      </x:c>
      <x:c r="P62" s="52" t="str">
        <x:v>not-found</x:v>
      </x:c>
      <x:c r="Q62" s="55" t="str">
        <x:v>not-approved-by-this-classification</x:v>
      </x:c>
      <x:c r="R62" s="34" t="str">
        <x:v>candidate-only-after-flow-level-decomposition-evidence-review-and-explicit-approval</x:v>
      </x:c>
      <x:c r="S62" s="34" t="str">
        <x:v>`C`；场景可送审；2 TBD，Actor/是否自动化未定，不得用现有测试通过反推需求正确。; detailed record: R03-use-cases.md line 46</x:v>
      </x:c>
      <x:c r="T62" s="35" t="str">
        <x:v>R03-use-cases.md:46</x:v>
      </x:c>
    </x:row>
    <x:row r="63" ht="48" customHeight="1">
      <x:c r="A63" s="44" t="str">
        <x:v>R03-16</x:v>
      </x:c>
      <x:c r="B63" s="45" t="str">
        <x:v>R03</x:v>
      </x:c>
      <x:c r="C63" s="34" t="str">
        <x:v>requirement-documents/03-use-cases/02-slot-and-hardware/uc-039-maintain-slot-io-point-mapping.md</x:v>
      </x:c>
      <x:c r="D63" s="49" t="str">
        <x:v>b9e6e0e7415965e5342b94915df111ab52b721bb476d709569510f171a017a41</x:v>
      </x:c>
      <x:c r="E63" s="40" t="n">
        <x:v>9094</x:v>
      </x:c>
      <x:c r="F63" s="34" t="str">
        <x:v>tracked-clean</x:v>
      </x:c>
      <x:c r="G63" s="34" t="str">
        <x:v>tracked-clean</x:v>
      </x:c>
      <x:c r="H63" s="34" t="str">
        <x:v>candidate-requirement</x:v>
      </x:c>
      <x:c r="I63" s="34" t="str">
        <x:v>R03-I</x:v>
      </x:c>
      <x:c r="J63" s="34" t="str">
        <x:v>unapproved-internal-design-exploration</x:v>
      </x:c>
      <x:c r="K63" s="34" t="str">
        <x:v>`I`；当前是设备接入闭环的内部候选；6 TBD，包含待核对是否阻断业务、二次认证等未决策项。</x:v>
      </x:c>
      <x:c r="L63" s="34" t="str">
        <x:v>[UC-039](../../../../requirement-documents/03-use-cases/02-slot-and-hardware/uc-039-maintain-slot-io-point-mapping.md) `b9e6e0e74159`；`48→49`; 为填补 UC-018 假定“映射已存在”的建表/维护缺口而新增；无 BR</x:v>
      </x:c>
      <x:c r="M63" s="52" t="str">
        <x:v>not-found</x:v>
      </x:c>
      <x:c r="N63" s="52" t="str">
        <x:v>not-found</x:v>
      </x:c>
      <x:c r="O63" s="52" t="str">
        <x:v>not-found</x:v>
      </x:c>
      <x:c r="P63" s="52" t="str">
        <x:v>not-found</x:v>
      </x:c>
      <x:c r="Q63" s="55" t="str">
        <x:v>not-approved-by-this-classification</x:v>
      </x:c>
      <x:c r="R63" s="34" t="str">
        <x:v>split-business-design-interface-and-safety-claims-before-evidence-review-and-explicit-approval</x:v>
      </x:c>
      <x:c r="S63" s="34" t="str">
        <x:v>`I`；当前是设备接入闭环的内部候选；6 TBD，包含待核对是否阻断业务、二次认证等未决策项。; detailed record: R03-use-cases.md line 47</x:v>
      </x:c>
      <x:c r="T63" s="35" t="str">
        <x:v>R03-use-cases.md:47</x:v>
      </x:c>
    </x:row>
    <x:row r="64" ht="48" customHeight="1">
      <x:c r="A64" s="44" t="str">
        <x:v>R03-17</x:v>
      </x:c>
      <x:c r="B64" s="45" t="str">
        <x:v>R03</x:v>
      </x:c>
      <x:c r="C64" s="34" t="str">
        <x:v>requirement-documents/03-use-cases/03-agv-fleet-management/uc-013-enable-disable-agv.md</x:v>
      </x:c>
      <x:c r="D64" s="49" t="str">
        <x:v>835e08ba1846c25be422572929fd5bf7cd152ba86fbe57dc1f252ec2a9f13a49</x:v>
      </x:c>
      <x:c r="E64" s="40" t="n">
        <x:v>8669</x:v>
      </x:c>
      <x:c r="F64" s="34" t="str">
        <x:v>tracked-clean</x:v>
      </x:c>
      <x:c r="G64" s="34" t="str">
        <x:v>tracked-clean</x:v>
      </x:c>
      <x:c r="H64" s="34" t="str">
        <x:v>candidate-requirement</x:v>
      </x:c>
      <x:c r="I64" s="34" t="str">
        <x:v>R03-C</x:v>
      </x:c>
      <x:c r="J64" s="34" t="str">
        <x:v>unapproved-use-case-candidate-for-human-review</x:v>
      </x:c>
      <x:c r="K64" s="34" t="str">
        <x:v>`C`；可送审，但 4 TBD 且 Actor 暂定；“待生效不中断当前任务”需单独确认。</x:v>
      </x:c>
      <x:c r="L64" s="34" t="str">
        <x:v>[UC-013](../../../../requirement-documents/03-use-cases/03-agv-fleet-management/uc-013-enable-disable-agv.md) `835e08ba1846`；`96→0b→1d`; 自述为用户提出的本系统车辆启停；无 BR</x:v>
      </x:c>
      <x:c r="M64" s="52" t="str">
        <x:v>not-found</x:v>
      </x:c>
      <x:c r="N64" s="52" t="str">
        <x:v>not-found</x:v>
      </x:c>
      <x:c r="O64" s="52" t="str">
        <x:v>not-found</x:v>
      </x:c>
      <x:c r="P64" s="52" t="str">
        <x:v>not-found</x:v>
      </x:c>
      <x:c r="Q64" s="55" t="str">
        <x:v>not-approved-by-this-classification</x:v>
      </x:c>
      <x:c r="R64" s="34" t="str">
        <x:v>candidate-only-after-flow-level-decomposition-evidence-review-and-explicit-approval</x:v>
      </x:c>
      <x:c r="S64" s="34" t="str">
        <x:v>`C`；可送审，但 4 TBD 且 Actor 暂定；“待生效不中断当前任务”需单独确认。; detailed record: R03-use-cases.md line 53</x:v>
      </x:c>
      <x:c r="T64" s="35" t="str">
        <x:v>R03-use-cases.md:53</x:v>
      </x:c>
    </x:row>
    <x:row r="65" ht="48" customHeight="1">
      <x:c r="A65" s="44" t="str">
        <x:v>R03-18</x:v>
      </x:c>
      <x:c r="B65" s="45" t="str">
        <x:v>R03</x:v>
      </x:c>
      <x:c r="C65" s="34" t="str">
        <x:v>requirement-documents/03-use-cases/03-agv-fleet-management/uc-019-register-agv-from-rcs.md</x:v>
      </x:c>
      <x:c r="D65" s="49" t="str">
        <x:v>9a94e7194e79c8f709215d6e1d10b63395fa7f0a59afceb1625df7d07d2237a4</x:v>
      </x:c>
      <x:c r="E65" s="40" t="n">
        <x:v>7288</x:v>
      </x:c>
      <x:c r="F65" s="34" t="str">
        <x:v>tracked-clean</x:v>
      </x:c>
      <x:c r="G65" s="34" t="str">
        <x:v>tracked-clean</x:v>
      </x:c>
      <x:c r="H65" s="34" t="str">
        <x:v>candidate-requirement</x:v>
      </x:c>
      <x:c r="I65" s="34" t="str">
        <x:v>R03-C</x:v>
      </x:c>
      <x:c r="J65" s="34" t="str">
        <x:v>unapproved-use-case-candidate-for-human-review</x:v>
      </x:c>
      <x:c r="K65" s="34" t="str">
        <x:v>`C`；可送审车辆接入与模型绑定；2 TBD，归档恢复等边界未定。</x:v>
      </x:c>
      <x:c r="L65" s="34" t="str">
        <x:v>[UC-019](../../../../requirement-documents/03-use-cases/03-agv-fleet-management/uc-019-register-agv-from-rcs.md) `9a94e7194e79`；`0b→1d→48`; 接入 AGV 目标，后因用户提出多仓位模型而改写；BR-002/008</x:v>
      </x:c>
      <x:c r="M65" s="52" t="str">
        <x:v>not-found</x:v>
      </x:c>
      <x:c r="N65" s="52" t="str">
        <x:v>not-found</x:v>
      </x:c>
      <x:c r="O65" s="52" t="str">
        <x:v>not-found</x:v>
      </x:c>
      <x:c r="P65" s="52" t="str">
        <x:v>not-found</x:v>
      </x:c>
      <x:c r="Q65" s="55" t="str">
        <x:v>not-approved-by-this-classification</x:v>
      </x:c>
      <x:c r="R65" s="34" t="str">
        <x:v>candidate-only-after-flow-level-decomposition-evidence-review-and-explicit-approval</x:v>
      </x:c>
      <x:c r="S65" s="34" t="str">
        <x:v>`C`；可送审车辆接入与模型绑定；2 TBD，归档恢复等边界未定。; detailed record: R03-use-cases.md line 54</x:v>
      </x:c>
      <x:c r="T65" s="35" t="str">
        <x:v>R03-use-cases.md:54</x:v>
      </x:c>
    </x:row>
    <x:row r="66" ht="48" customHeight="1">
      <x:c r="A66" s="44" t="str">
        <x:v>R03-19</x:v>
      </x:c>
      <x:c r="B66" s="45" t="str">
        <x:v>R03</x:v>
      </x:c>
      <x:c r="C66" s="34" t="str">
        <x:v>requirement-documents/03-use-cases/03-agv-fleet-management/uc-020-maintain-agv-dispatch-profile.md</x:v>
      </x:c>
      <x:c r="D66" s="49" t="str">
        <x:v>99fb50c10570111e32b003abc1eda95df77e01acf59f7fab5061793f27af630b</x:v>
      </x:c>
      <x:c r="E66" s="40" t="n">
        <x:v>5919</x:v>
      </x:c>
      <x:c r="F66" s="34" t="str">
        <x:v>tracked-clean</x:v>
      </x:c>
      <x:c r="G66" s="34" t="str">
        <x:v>tracked-clean</x:v>
      </x:c>
      <x:c r="H66" s="34" t="str">
        <x:v>candidate-requirement</x:v>
      </x:c>
      <x:c r="I66" s="34" t="str">
        <x:v>R03-C</x:v>
      </x:c>
      <x:c r="J66" s="34" t="str">
        <x:v>unapproved-use-case-candidate-for-human-review</x:v>
      </x:c>
      <x:c r="K66" s="34" t="str">
        <x:v>`C`；只应送审当前 `48` 的可编辑字段；3 TBD，旧手工维护仓位语义不再适用。</x:v>
      </x:c>
      <x:c r="L66" s="34" t="str">
        <x:v>[UC-020](../../../../requirement-documents/03-use-cases/03-agv-fleet-management/uc-020-maintain-agv-dispatch-profile.md) `99fb50c10570`；`0b→1d→48`; AGV 调度配置，仓位结构已被 UC-038/BR-008 模型快照替代；BR-002/008</x:v>
      </x:c>
      <x:c r="M66" s="52" t="str">
        <x:v>not-found</x:v>
      </x:c>
      <x:c r="N66" s="52" t="str">
        <x:v>not-found</x:v>
      </x:c>
      <x:c r="O66" s="52" t="str">
        <x:v>not-found</x:v>
      </x:c>
      <x:c r="P66" s="52" t="str">
        <x:v>not-found</x:v>
      </x:c>
      <x:c r="Q66" s="55" t="str">
        <x:v>not-approved-by-this-classification</x:v>
      </x:c>
      <x:c r="R66" s="34" t="str">
        <x:v>candidate-only-after-flow-level-decomposition-evidence-review-and-explicit-approval</x:v>
      </x:c>
      <x:c r="S66" s="34" t="str">
        <x:v>`C`；只应送审当前 `48` 的可编辑字段；3 TBD，旧手工维护仓位语义不再适用。; detailed record: R03-use-cases.md line 55</x:v>
      </x:c>
      <x:c r="T66" s="35" t="str">
        <x:v>R03-use-cases.md:55</x:v>
      </x:c>
    </x:row>
    <x:row r="67" ht="48" customHeight="1">
      <x:c r="A67" s="44" t="str">
        <x:v>R03-20</x:v>
      </x:c>
      <x:c r="B67" s="45" t="str">
        <x:v>R03</x:v>
      </x:c>
      <x:c r="C67" s="34" t="str">
        <x:v>requirement-documents/03-use-cases/03-agv-fleet-management/uc-021-archive-agv.md</x:v>
      </x:c>
      <x:c r="D67" s="49" t="str">
        <x:v>64cbde28895413729072fa1d1493a1a06b4b17151445c93fed339f24d2bdf19a</x:v>
      </x:c>
      <x:c r="E67" s="40" t="n">
        <x:v>3339</x:v>
      </x:c>
      <x:c r="F67" s="34" t="str">
        <x:v>tracked-clean</x:v>
      </x:c>
      <x:c r="G67" s="34" t="str">
        <x:v>tracked-clean</x:v>
      </x:c>
      <x:c r="H67" s="34" t="str">
        <x:v>candidate-requirement</x:v>
      </x:c>
      <x:c r="I67" s="34" t="str">
        <x:v>R03-C</x:v>
      </x:c>
      <x:c r="J67" s="34" t="str">
        <x:v>unapproved-use-case-candidate-for-human-review</x:v>
      </x:c>
      <x:c r="K67" s="34" t="str">
        <x:v>`C`；可送审；2 TBD，恢复/外部 RCS 状态边界缺证据。</x:v>
      </x:c>
      <x:c r="L67" s="34" t="str">
        <x:v>[UC-021](../../../../requirement-documents/03-use-cases/03-agv-fleet-management/uc-021-archive-agv.md) `64cbde288954`；`0b→1d`; 本地 AGV 归档；BR-002</x:v>
      </x:c>
      <x:c r="M67" s="52" t="str">
        <x:v>not-found</x:v>
      </x:c>
      <x:c r="N67" s="52" t="str">
        <x:v>not-found</x:v>
      </x:c>
      <x:c r="O67" s="52" t="str">
        <x:v>not-found</x:v>
      </x:c>
      <x:c r="P67" s="52" t="str">
        <x:v>not-found</x:v>
      </x:c>
      <x:c r="Q67" s="55" t="str">
        <x:v>not-approved-by-this-classification</x:v>
      </x:c>
      <x:c r="R67" s="34" t="str">
        <x:v>candidate-only-after-flow-level-decomposition-evidence-review-and-explicit-approval</x:v>
      </x:c>
      <x:c r="S67" s="34" t="str">
        <x:v>`C`；可送审；2 TBD，恢复/外部 RCS 状态边界缺证据。; detailed record: R03-use-cases.md line 56</x:v>
      </x:c>
      <x:c r="T67" s="35" t="str">
        <x:v>R03-use-cases.md:56</x:v>
      </x:c>
    </x:row>
    <x:row r="68" ht="48" customHeight="1">
      <x:c r="A68" s="44" t="str">
        <x:v>R03-21</x:v>
      </x:c>
      <x:c r="B68" s="45" t="str">
        <x:v>R03</x:v>
      </x:c>
      <x:c r="C68" s="34" t="str">
        <x:v>requirement-documents/03-use-cases/03-agv-fleet-management/uc-022-view-agv-fleet-and-availability.md</x:v>
      </x:c>
      <x:c r="D68" s="49" t="str">
        <x:v>5236a42f1ff7d430d4e3028e9b542e64092f5ffcf7ce5958bfe3dcd2e7a025e7</x:v>
      </x:c>
      <x:c r="E68" s="40" t="n">
        <x:v>3537</x:v>
      </x:c>
      <x:c r="F68" s="34" t="str">
        <x:v>tracked-clean</x:v>
      </x:c>
      <x:c r="G68" s="34" t="str">
        <x:v>tracked-clean</x:v>
      </x:c>
      <x:c r="H68" s="34" t="str">
        <x:v>candidate-requirement</x:v>
      </x:c>
      <x:c r="I68" s="34" t="str">
        <x:v>R03-C</x:v>
      </x:c>
      <x:c r="J68" s="34" t="str">
        <x:v>unapproved-use-case-candidate-for-human-review</x:v>
      </x:c>
      <x:c r="K68" s="34" t="str">
        <x:v>`C`；看板目标可送审；1 TBD，展示字段/刷新与权限范围需定稿。</x:v>
      </x:c>
      <x:c r="L68" s="34" t="str">
        <x:v>[UC-022](../../../../requirement-documents/03-use-cases/03-agv-fleet-management/uc-022-view-agv-fleet-and-availability.md) `5236a42f1ff7`；`0b→1d`; 车队可见性和 BR-002 分配原因</x:v>
      </x:c>
      <x:c r="M68" s="52" t="str">
        <x:v>not-found</x:v>
      </x:c>
      <x:c r="N68" s="52" t="str">
        <x:v>not-found</x:v>
      </x:c>
      <x:c r="O68" s="52" t="str">
        <x:v>not-found</x:v>
      </x:c>
      <x:c r="P68" s="52" t="str">
        <x:v>not-found</x:v>
      </x:c>
      <x:c r="Q68" s="55" t="str">
        <x:v>not-approved-by-this-classification</x:v>
      </x:c>
      <x:c r="R68" s="34" t="str">
        <x:v>candidate-only-after-flow-level-decomposition-evidence-review-and-explicit-approval</x:v>
      </x:c>
      <x:c r="S68" s="34" t="str">
        <x:v>`C`；看板目标可送审；1 TBD，展示字段/刷新与权限范围需定稿。; detailed record: R03-use-cases.md line 57</x:v>
      </x:c>
      <x:c r="T68" s="35" t="str">
        <x:v>R03-use-cases.md:57</x:v>
      </x:c>
    </x:row>
    <x:row r="69" ht="48" customHeight="1">
      <x:c r="A69" s="44" t="str">
        <x:v>R03-22</x:v>
      </x:c>
      <x:c r="B69" s="45" t="str">
        <x:v>R03</x:v>
      </x:c>
      <x:c r="C69" s="34" t="str">
        <x:v>requirement-documents/03-use-cases/03-agv-fleet-management/uc-038-maintain-agv-slot-model.md</x:v>
      </x:c>
      <x:c r="D69" s="49" t="str">
        <x:v>b90314fae668a53c8e5a92c20ed474d472fc41ce65980d7212481bf3780f56be</x:v>
      </x:c>
      <x:c r="E69" s="40" t="n">
        <x:v>11498</x:v>
      </x:c>
      <x:c r="F69" s="34" t="str">
        <x:v>tracked-clean</x:v>
      </x:c>
      <x:c r="G69" s="34" t="str">
        <x:v>tracked-clean</x:v>
      </x:c>
      <x:c r="H69" s="34" t="str">
        <x:v>candidate-requirement</x:v>
      </x:c>
      <x:c r="I69" s="34" t="str">
        <x:v>R03-C</x:v>
      </x:c>
      <x:c r="J69" s="34" t="str">
        <x:v>unapproved-use-case-candidate-for-human-review</x:v>
      </x:c>
      <x:c r="K69" s="34" t="str">
        <x:v>`C`；场景可送审，但 Draft/Published/Retired、不可变快照、二次认证是内部设计细化，需运维/硬件/安全权威方分项确认。</x:v>
      </x:c>
      <x:c r="L69" s="34" t="str">
        <x:v>[UC-038](../../../../requirement-documents/03-use-cases/03-agv-fleet-management/uc-038-maintain-agv-slot-model.md) `b90314fae668`；`48`; 自述来自用户在 UC-019 讨论中提出的多仓位模型；BR-002/008</x:v>
      </x:c>
      <x:c r="M69" s="52" t="str">
        <x:v>not-found</x:v>
      </x:c>
      <x:c r="N69" s="52" t="str">
        <x:v>not-found</x:v>
      </x:c>
      <x:c r="O69" s="52" t="str">
        <x:v>not-found</x:v>
      </x:c>
      <x:c r="P69" s="52" t="str">
        <x:v>not-found</x:v>
      </x:c>
      <x:c r="Q69" s="55" t="str">
        <x:v>not-approved-by-this-classification</x:v>
      </x:c>
      <x:c r="R69" s="34" t="str">
        <x:v>candidate-only-after-flow-level-decomposition-evidence-review-and-explicit-approval</x:v>
      </x:c>
      <x:c r="S69" s="34" t="str">
        <x:v>`C`；场景可送审，但 Draft/Published/Retired、不可变快照、二次认证是内部设计细化，需运维/硬件/安全权威方分项确认。; detailed record: R03-use-cases.md line 58</x:v>
      </x:c>
      <x:c r="T69" s="35" t="str">
        <x:v>R03-use-cases.md:58</x:v>
      </x:c>
    </x:row>
    <x:row r="70" ht="48" customHeight="1">
      <x:c r="A70" s="44" t="str">
        <x:v>R03-23</x:v>
      </x:c>
      <x:c r="B70" s="45" t="str">
        <x:v>R03</x:v>
      </x:c>
      <x:c r="C70" s="34" t="str">
        <x:v>requirement-documents/03-use-cases/04-transport-task-dispatch/uc-007-sync-transport-task-from-mes.md</x:v>
      </x:c>
      <x:c r="D70" s="49" t="str">
        <x:v>3698770e3790bd1691ed8ea1ce8985857132a46533ebfe200d3306e5ea073c8c</x:v>
      </x:c>
      <x:c r="E70" s="40" t="n">
        <x:v>7736</x:v>
      </x:c>
      <x:c r="F70" s="34" t="str">
        <x:v>tracked-clean</x:v>
      </x:c>
      <x:c r="G70" s="34" t="str">
        <x:v>tracked-clean</x:v>
      </x:c>
      <x:c r="H70" s="34" t="str">
        <x:v>candidate-requirement</x:v>
      </x:c>
      <x:c r="I70" s="34" t="str">
        <x:v>R03-I</x:v>
      </x:c>
      <x:c r="J70" s="34" t="str">
        <x:v>unapproved-internal-design-exploration</x:v>
      </x:c>
      <x:c r="K70" s="34" t="str">
        <x:v>`I`；是当前内部 MES ingest 候选，不是人的用例；1 TBD，MES 契约/只读边界必须由 MES 责任方审。</x:v>
      </x:c>
      <x:c r="L70" s="34" t="str">
        <x:v>[UC-007](../../../../requirement-documents/03-use-cases/04-transport-task-dispatch/uc-007-sync-transport-task-from-mes.md) `3698770e3790`；`96→0b→1d→ec→49`; 系统内部 MES 轮询/投影；自述吸收 [MES 任务模型](../../../../mes/AGV%E7%B3%BB%E7%BB%9F%E4%B8%9A%E5%8A%A1%E4%B8%8EMES%E4%BB%BB%E5%8A%A1%E6%A8%A1%E5%9E%8B.md)；BR-001/003/012/014</x:v>
      </x:c>
      <x:c r="M70" s="52" t="str">
        <x:v>not-found</x:v>
      </x:c>
      <x:c r="N70" s="52" t="str">
        <x:v>not-found</x:v>
      </x:c>
      <x:c r="O70" s="52" t="str">
        <x:v>not-found</x:v>
      </x:c>
      <x:c r="P70" s="52" t="str">
        <x:v>not-found</x:v>
      </x:c>
      <x:c r="Q70" s="55" t="str">
        <x:v>not-approved-by-this-classification</x:v>
      </x:c>
      <x:c r="R70" s="34" t="str">
        <x:v>split-business-design-interface-and-safety-claims-before-evidence-review-and-explicit-approval</x:v>
      </x:c>
      <x:c r="S70" s="34" t="str">
        <x:v>`I`；是当前内部 MES ingest 候选，不是人的用例；1 TBD，MES 契约/只读边界必须由 MES 责任方审。; detailed record: R03-use-cases.md line 64</x:v>
      </x:c>
      <x:c r="T70" s="35" t="str">
        <x:v>R03-use-cases.md:64</x:v>
      </x:c>
    </x:row>
    <x:row r="71" ht="48" customHeight="1">
      <x:c r="A71" s="44" t="str">
        <x:v>R03-24</x:v>
      </x:c>
      <x:c r="B71" s="45" t="str">
        <x:v>R03</x:v>
      </x:c>
      <x:c r="C71" s="34" t="str">
        <x:v>requirement-documents/03-use-cases/04-transport-task-dispatch/uc-008-dispatch-move-order-to-riot.md</x:v>
      </x:c>
      <x:c r="D71" s="49" t="str">
        <x:v>4039759a307315f30200f6b154e2162c58bf9dde0d50393ea4b01f9c76801e6a</x:v>
      </x:c>
      <x:c r="E71" s="40" t="n">
        <x:v>13067</x:v>
      </x:c>
      <x:c r="F71" s="34" t="str">
        <x:v>tracked-clean</x:v>
      </x:c>
      <x:c r="G71" s="34" t="str">
        <x:v>tracked-clean</x:v>
      </x:c>
      <x:c r="H71" s="34" t="str">
        <x:v>candidate-requirement</x:v>
      </x:c>
      <x:c r="I71" s="34" t="str">
        <x:v>R03-I</x:v>
      </x:c>
      <x:c r="J71" s="34" t="str">
        <x:v>unapproved-internal-design-exploration</x:v>
      </x:c>
      <x:c r="K71" s="34" t="str">
        <x:v>`I`；当前是调度—RIOT 内部契约候选；1 TBD，“每车 RIOT 队列 0/1”等声称无合格原始批准。</x:v>
      </x:c>
      <x:c r="L71" s="34" t="str">
        <x:v>[UC-008](../../../../requirement-documents/03-use-cases/04-transport-task-dispatch/uc-008-dispatch-move-order-to-riot.md) `4039759a3073`；`96→0b→1d→48→ec`; 从 UC-003/007/BR-001 排除的 RIOT 下发环节拆分；BR-001/015</x:v>
      </x:c>
      <x:c r="M71" s="52" t="str">
        <x:v>not-found</x:v>
      </x:c>
      <x:c r="N71" s="52" t="str">
        <x:v>not-found</x:v>
      </x:c>
      <x:c r="O71" s="52" t="str">
        <x:v>not-found</x:v>
      </x:c>
      <x:c r="P71" s="52" t="str">
        <x:v>not-found</x:v>
      </x:c>
      <x:c r="Q71" s="55" t="str">
        <x:v>not-approved-by-this-classification</x:v>
      </x:c>
      <x:c r="R71" s="34" t="str">
        <x:v>split-business-design-interface-and-safety-claims-before-evidence-review-and-explicit-approval</x:v>
      </x:c>
      <x:c r="S71" s="34" t="str">
        <x:v>`I`；当前是调度—RIOT 内部契约候选；1 TBD，“每车 RIOT 队列 0/1”等声称无合格原始批准。; detailed record: R03-use-cases.md line 65</x:v>
      </x:c>
      <x:c r="T71" s="35" t="str">
        <x:v>R03-use-cases.md:65</x:v>
      </x:c>
    </x:row>
    <x:row r="72" ht="48" customHeight="1">
      <x:c r="A72" s="44" t="str">
        <x:v>R03-25</x:v>
      </x:c>
      <x:c r="B72" s="45" t="str">
        <x:v>R03</x:v>
      </x:c>
      <x:c r="C72" s="34" t="str">
        <x:v>requirement-documents/03-use-cases/04-transport-task-dispatch/uc-009-monitor-move-order-until-arrival.md</x:v>
      </x:c>
      <x:c r="D72" s="49" t="str">
        <x:v>4e50a9c982c0f3483cdb3d077e3fe22d275177429ccdf0e15f4d4a306e83e1bd</x:v>
      </x:c>
      <x:c r="E72" s="40" t="n">
        <x:v>6027</x:v>
      </x:c>
      <x:c r="F72" s="34" t="str">
        <x:v>tracked-clean</x:v>
      </x:c>
      <x:c r="G72" s="34" t="str">
        <x:v>tracked-clean</x:v>
      </x:c>
      <x:c r="H72" s="34" t="str">
        <x:v>candidate-requirement</x:v>
      </x:c>
      <x:c r="I72" s="34" t="str">
        <x:v>R03-I</x:v>
      </x:c>
      <x:c r="J72" s="34" t="str">
        <x:v>unapproved-internal-design-exploration</x:v>
      </x:c>
      <x:c r="K72" s="34" t="str">
        <x:v>`I`；是 UC-003 前置技术流程；1 TBD，轮询、超时、到站语义需 RIOT 契约证据。</x:v>
      </x:c>
      <x:c r="L72" s="34" t="str">
        <x:v>[UC-009](../../../../requirement-documents/03-use-cases/04-transport-task-dispatch/uc-009-monitor-move-order-until-arrival.md) `4e50a9c982c0`；`96→0b→1d→49`; 从 UC-003 拆出轮询直到可信到站；BR-001</x:v>
      </x:c>
      <x:c r="M72" s="52" t="str">
        <x:v>not-found</x:v>
      </x:c>
      <x:c r="N72" s="52" t="str">
        <x:v>not-found</x:v>
      </x:c>
      <x:c r="O72" s="52" t="str">
        <x:v>not-found</x:v>
      </x:c>
      <x:c r="P72" s="52" t="str">
        <x:v>not-found</x:v>
      </x:c>
      <x:c r="Q72" s="55" t="str">
        <x:v>not-approved-by-this-classification</x:v>
      </x:c>
      <x:c r="R72" s="34" t="str">
        <x:v>split-business-design-interface-and-safety-claims-before-evidence-review-and-explicit-approval</x:v>
      </x:c>
      <x:c r="S72" s="34" t="str">
        <x:v>`I`；是 UC-003 前置技术流程；1 TBD，轮询、超时、到站语义需 RIOT 契约证据。; detailed record: R03-use-cases.md line 66</x:v>
      </x:c>
      <x:c r="T72" s="35" t="str">
        <x:v>R03-use-cases.md:66</x:v>
      </x:c>
    </x:row>
    <x:row r="73" ht="48" customHeight="1">
      <x:c r="A73" s="44" t="str">
        <x:v>R03-26</x:v>
      </x:c>
      <x:c r="B73" s="45" t="str">
        <x:v>R03</x:v>
      </x:c>
      <x:c r="C73" s="34" t="str">
        <x:v>requirement-documents/03-use-cases/04-transport-task-dispatch/uc-023-allocate-transport-tasks-to-agv.md</x:v>
      </x:c>
      <x:c r="D73" s="49" t="str">
        <x:v>d82c95312790f84d207a1bfc844f7d8046bd1392be3733056b9f098b0d53a5fc</x:v>
      </x:c>
      <x:c r="E73" s="40" t="n">
        <x:v>7274</x:v>
      </x:c>
      <x:c r="F73" s="34" t="str">
        <x:v>tracked-clean</x:v>
      </x:c>
      <x:c r="G73" s="34" t="str">
        <x:v>tracked-clean</x:v>
      </x:c>
      <x:c r="H73" s="34" t="str">
        <x:v>candidate-requirement</x:v>
      </x:c>
      <x:c r="I73" s="34" t="str">
        <x:v>R03-I</x:v>
      </x:c>
      <x:c r="J73" s="34" t="str">
        <x:v>unapproved-internal-design-exploration</x:v>
      </x:c>
      <x:c r="K73" s="34" t="str">
        <x:v>`I`；主要是算法/状态机推演，4 TBD；不应以 UC 文档形式掩盖 BR-001/002/015 未决的决策。</x:v>
      </x:c>
      <x:c r="L73" s="34" t="str">
        <x:v>[UC-023](../../../../requirement-documents/03-use-cases/04-transport-task-dispatch/uc-023-allocate-transport-tasks-to-agv.md) `d82c95312790`；`0b→1d→ec`; 系统内部任务分配；BR-001/002/014/015</x:v>
      </x:c>
      <x:c r="M73" s="52" t="str">
        <x:v>not-found</x:v>
      </x:c>
      <x:c r="N73" s="52" t="str">
        <x:v>not-found</x:v>
      </x:c>
      <x:c r="O73" s="52" t="str">
        <x:v>not-found</x:v>
      </x:c>
      <x:c r="P73" s="52" t="str">
        <x:v>not-found</x:v>
      </x:c>
      <x:c r="Q73" s="55" t="str">
        <x:v>not-approved-by-this-classification</x:v>
      </x:c>
      <x:c r="R73" s="34" t="str">
        <x:v>split-business-design-interface-and-safety-claims-before-evidence-review-and-explicit-approval</x:v>
      </x:c>
      <x:c r="S73" s="34" t="str">
        <x:v>`I`；主要是算法/状态机推演，4 TBD；不应以 UC 文档形式掩盖 BR-001/002/015 未决的决策。; detailed record: R03-use-cases.md line 67</x:v>
      </x:c>
      <x:c r="T73" s="35" t="str">
        <x:v>R03-use-cases.md:67</x:v>
      </x:c>
    </x:row>
    <x:row r="74" ht="48" customHeight="1">
      <x:c r="A74" s="44" t="str">
        <x:v>R03-27</x:v>
      </x:c>
      <x:c r="B74" s="45" t="str">
        <x:v>R03</x:v>
      </x:c>
      <x:c r="C74" s="34" t="str">
        <x:v>requirement-documents/03-use-cases/04-transport-task-dispatch/uc-042-handle-agv-fault-and-reassign-or-terminate-tasks.md</x:v>
      </x:c>
      <x:c r="D74" s="49" t="str">
        <x:v>944b856398ab8c4a6cc363a6cd8472bad326a97d39de00591608ad461892fa3a</x:v>
      </x:c>
      <x:c r="E74" s="40" t="n">
        <x:v>10995</x:v>
      </x:c>
      <x:c r="F74" s="34" t="str">
        <x:v>tracked-clean</x:v>
      </x:c>
      <x:c r="G74" s="34" t="str">
        <x:v>tracked-clean</x:v>
      </x:c>
      <x:c r="H74" s="34" t="str">
        <x:v>candidate-requirement</x:v>
      </x:c>
      <x:c r="I74" s="34" t="str">
        <x:v>R03-I</x:v>
      </x:c>
      <x:c r="J74" s="34" t="str">
        <x:v>unapproved-internal-design-exploration</x:v>
      </x:c>
      <x:c r="K74" s="34" t="str">
        <x:v>`I`；12 处 TBD，文档自述为“初稿骨架”；故障状态、应急开锁、人工搬运和二次认证均不可直接进基线。</x:v>
      </x:c>
      <x:c r="L74" s="34" t="str">
        <x:v>[UC-042](../../../../requirement-documents/03-use-cases/04-transport-task-dispatch/uc-042-handle-agv-fault-and-reassign-or-terminate-tasks.md) `944b856398ab`；`48→49`; 为填补车辆离站后故障处置缺口新增；引用 MES 模型的“首仓开始装货”；BR-001/002</x:v>
      </x:c>
      <x:c r="M74" s="52" t="str">
        <x:v>not-found</x:v>
      </x:c>
      <x:c r="N74" s="52" t="str">
        <x:v>not-found</x:v>
      </x:c>
      <x:c r="O74" s="52" t="str">
        <x:v>not-found</x:v>
      </x:c>
      <x:c r="P74" s="52" t="str">
        <x:v>not-found</x:v>
      </x:c>
      <x:c r="Q74" s="55" t="str">
        <x:v>not-approved-by-this-classification</x:v>
      </x:c>
      <x:c r="R74" s="34" t="str">
        <x:v>split-business-design-interface-and-safety-claims-before-evidence-review-and-explicit-approval</x:v>
      </x:c>
      <x:c r="S74" s="34" t="str">
        <x:v>`I`；12 处 TBD，文档自述为“初稿骨架”；故障状态、应急开锁、人工搬运和二次认证均不可直接进基线。; detailed record: R03-use-cases.md line 68</x:v>
      </x:c>
      <x:c r="T74" s="35" t="str">
        <x:v>R03-use-cases.md:68</x:v>
      </x:c>
    </x:row>
    <x:row r="75" ht="48" customHeight="1">
      <x:c r="A75" s="44" t="str">
        <x:v>R03-28</x:v>
      </x:c>
      <x:c r="B75" s="45" t="str">
        <x:v>R03</x:v>
      </x:c>
      <x:c r="C75" s="34" t="str">
        <x:v>requirement-documents/03-use-cases/05-agv-charging/uc-012-manually-dispatch-agv-to-charge.md</x:v>
      </x:c>
      <x:c r="D75" s="49" t="str">
        <x:v>28d317e8b576d2478b4cb6bf30c04fd2d3716f20513348c20db7f896f9f13b24</x:v>
      </x:c>
      <x:c r="E75" s="40" t="n">
        <x:v>14152</x:v>
      </x:c>
      <x:c r="F75" s="34" t="str">
        <x:v>tracked-clean</x:v>
      </x:c>
      <x:c r="G75" s="34" t="str">
        <x:v>tracked-clean</x:v>
      </x:c>
      <x:c r="H75" s="34" t="str">
        <x:v>candidate-requirement</x:v>
      </x:c>
      <x:c r="I75" s="34" t="str">
        <x:v>R03-C</x:v>
      </x:c>
      <x:c r="J75" s="34" t="str">
        <x:v>unapproved-use-case-candidate-for-human-review</x:v>
      </x:c>
      <x:c r="K75" s="34" t="str">
        <x:v>`C`；手动目标可送审；9 TBD，RIOT 充电接口、阈值和异常处置未闭合。</x:v>
      </x:c>
      <x:c r="L75" s="34" t="str">
        <x:v>[UC-012](../../../../requirement-documents/03-use-cases/05-agv-charging/uc-012-manually-dispatch-agv-to-charge.md) `28d317e8b576`；`96→0b→1d→48`; 自述为用户提出的空闲车手动充电；BR-007；明确不含低电自动回充</x:v>
      </x:c>
      <x:c r="M75" s="52" t="str">
        <x:v>not-found</x:v>
      </x:c>
      <x:c r="N75" s="52" t="str">
        <x:v>not-found</x:v>
      </x:c>
      <x:c r="O75" s="52" t="str">
        <x:v>not-found</x:v>
      </x:c>
      <x:c r="P75" s="52" t="str">
        <x:v>not-found</x:v>
      </x:c>
      <x:c r="Q75" s="55" t="str">
        <x:v>not-approved-by-this-classification</x:v>
      </x:c>
      <x:c r="R75" s="34" t="str">
        <x:v>candidate-only-after-flow-level-decomposition-evidence-review-and-explicit-approval</x:v>
      </x:c>
      <x:c r="S75" s="34" t="str">
        <x:v>`C`；手动目标可送审；9 TBD，RIOT 充电接口、阈值和异常处置未闭合。; detailed record: R03-use-cases.md line 74</x:v>
      </x:c>
      <x:c r="T75" s="35" t="str">
        <x:v>R03-use-cases.md:74</x:v>
      </x:c>
    </x:row>
    <x:row r="76" ht="48" customHeight="1">
      <x:c r="A76" s="44" t="str">
        <x:v>R03-29</x:v>
      </x:c>
      <x:c r="B76" s="45" t="str">
        <x:v>R03</x:v>
      </x:c>
      <x:c r="C76" s="34" t="str">
        <x:v>requirement-documents/03-use-cases/05-agv-charging/uc-037-maintain-agv-charging-strategy-configuration.md</x:v>
      </x:c>
      <x:c r="D76" s="49" t="str">
        <x:v>92bfe6345343e18ece3e9a695acc06694485425b9ebd7711225fc22179dd50e1</x:v>
      </x:c>
      <x:c r="E76" s="40" t="n">
        <x:v>10001</x:v>
      </x:c>
      <x:c r="F76" s="34" t="str">
        <x:v>tracked-clean</x:v>
      </x:c>
      <x:c r="G76" s="34" t="str">
        <x:v>tracked-clean</x:v>
      </x:c>
      <x:c r="H76" s="34" t="str">
        <x:v>candidate-requirement</x:v>
      </x:c>
      <x:c r="I76" s="34" t="str">
        <x:v>R03-C</x:v>
      </x:c>
      <x:c r="J76" s="34" t="str">
        <x:v>unapproved-use-case-candidate-for-human-review</x:v>
      </x:c>
      <x:c r="K76" s="34" t="str">
        <x:v>`C`；配置目标可送审；5 TBD，“电量优先且不抢占已充电车”等内容需原始记录。</x:v>
      </x:c>
      <x:c r="L76" s="34" t="str">
        <x:v>[UC-037](../../../../requirement-documents/03-use-cases/05-agv-charging/uc-037-maintain-agv-charging-strategy-configuration.md) `92bfe6345343`；`0b→1d`; 自述为用户提出的充电策略配置；BR-007；不含自动充电执行</x:v>
      </x:c>
      <x:c r="M76" s="52" t="str">
        <x:v>not-found</x:v>
      </x:c>
      <x:c r="N76" s="52" t="str">
        <x:v>not-found</x:v>
      </x:c>
      <x:c r="O76" s="52" t="str">
        <x:v>not-found</x:v>
      </x:c>
      <x:c r="P76" s="52" t="str">
        <x:v>not-found</x:v>
      </x:c>
      <x:c r="Q76" s="55" t="str">
        <x:v>not-approved-by-this-classification</x:v>
      </x:c>
      <x:c r="R76" s="34" t="str">
        <x:v>candidate-only-after-flow-level-decomposition-evidence-review-and-explicit-approval</x:v>
      </x:c>
      <x:c r="S76" s="34" t="str">
        <x:v>`C`；配置目标可送审；5 TBD，“电量优先且不抢占已充电车”等内容需原始记录。; detailed record: R03-use-cases.md line 75</x:v>
      </x:c>
      <x:c r="T76" s="35" t="str">
        <x:v>R03-use-cases.md:75</x:v>
      </x:c>
    </x:row>
    <x:row r="77" ht="48" customHeight="1">
      <x:c r="A77" s="44" t="str">
        <x:v>R03-30</x:v>
      </x:c>
      <x:c r="B77" s="45" t="str">
        <x:v>R03</x:v>
      </x:c>
      <x:c r="C77" s="34" t="str">
        <x:v>requirement-documents/03-use-cases/06-area-station-mapping/uc-024-maintain-area-station-mapping.md</x:v>
      </x:c>
      <x:c r="D77" s="49" t="str">
        <x:v>e5ba9b09854040254dc5bf4ba50f6f7b52661ac345f6cfdad25a1b3e67b942f5</x:v>
      </x:c>
      <x:c r="E77" s="40" t="n">
        <x:v>8637</x:v>
      </x:c>
      <x:c r="F77" s="34" t="str">
        <x:v>tracked-clean</x:v>
      </x:c>
      <x:c r="G77" s="34" t="str">
        <x:v>tracked-clean</x:v>
      </x:c>
      <x:c r="H77" s="34" t="str">
        <x:v>candidate-requirement</x:v>
      </x:c>
      <x:c r="I77" s="34" t="str">
        <x:v>R03-I</x:v>
      </x:c>
      <x:c r="J77" s="34" t="str">
        <x:v>unapproved-internal-design-exploration</x:v>
      </x:c>
      <x:c r="K77" s="34" t="str">
        <x:v>`I`；地图数据模型内部候选，1 TBD；需用实际 RIOT 地图契约和厂区 AREA 权威表审查。</x:v>
      </x:c>
      <x:c r="L77" s="34" t="str">
        <x:v>[UC-024](../../../../requirement-documents/03-use-cases/06-area-station-mapping/uc-024-maintain-area-station-mapping.md) `e5ba9b098540`；`0b→1d→48→ec`; AREA—站点命名解析/显式覆盖；BR-001/003/015</x:v>
      </x:c>
      <x:c r="M77" s="52" t="str">
        <x:v>not-found</x:v>
      </x:c>
      <x:c r="N77" s="52" t="str">
        <x:v>not-found</x:v>
      </x:c>
      <x:c r="O77" s="52" t="str">
        <x:v>not-found</x:v>
      </x:c>
      <x:c r="P77" s="52" t="str">
        <x:v>not-found</x:v>
      </x:c>
      <x:c r="Q77" s="55" t="str">
        <x:v>not-approved-by-this-classification</x:v>
      </x:c>
      <x:c r="R77" s="34" t="str">
        <x:v>split-business-design-interface-and-safety-claims-before-evidence-review-and-explicit-approval</x:v>
      </x:c>
      <x:c r="S77" s="34" t="str">
        <x:v>`I`；地图数据模型内部候选，1 TBD；需用实际 RIOT 地图契约和厂区 AREA 权威表审查。; detailed record: R03-use-cases.md line 76</x:v>
      </x:c>
      <x:c r="T77" s="35" t="str">
        <x:v>R03-use-cases.md:76</x:v>
      </x:c>
    </x:row>
    <x:row r="78" ht="48" customHeight="1">
      <x:c r="A78" s="44" t="str">
        <x:v>R03-31</x:v>
      </x:c>
      <x:c r="B78" s="45" t="str">
        <x:v>R03</x:v>
      </x:c>
      <x:c r="C78" s="34" t="str">
        <x:v>requirement-documents/03-use-cases/06-area-station-mapping/uc-045-sync-map-topology-from-riot.md</x:v>
      </x:c>
      <x:c r="D78" s="49" t="str">
        <x:v>5d4630b8d3350752d34820ecd96acba850234aa2c51293d682aa55756fc81a6a</x:v>
      </x:c>
      <x:c r="E78" s="40" t="n">
        <x:v>6718</x:v>
      </x:c>
      <x:c r="F78" s="34" t="str">
        <x:v>tracked-clean</x:v>
      </x:c>
      <x:c r="G78" s="34" t="str">
        <x:v>tracked-clean</x:v>
      </x:c>
      <x:c r="H78" s="34" t="str">
        <x:v>candidate-requirement</x:v>
      </x:c>
      <x:c r="I78" s="34" t="str">
        <x:v>R03-I</x:v>
      </x:c>
      <x:c r="J78" s="34" t="str">
        <x:v>unapproved-internal-design-exploration</x:v>
      </x:c>
      <x:c r="K78" s="34" t="str">
        <x:v>`I`；7 TBD，属地图/路径成本技术设计草案，不是可直接送审的人员用例。</x:v>
      </x:c>
      <x:c r="L78" s="34" t="str">
        <x:v>[UC-045](../../../../requirement-documents/03-use-cases/06-area-station-mapping/uc-045-sync-map-topology-from-riot.md) `5d4630b8d335`；`ec`; 填补“需最短路成本但无拓扑同步”的内部缺口；BR-002/003/015</x:v>
      </x:c>
      <x:c r="M78" s="52" t="str">
        <x:v>not-found</x:v>
      </x:c>
      <x:c r="N78" s="52" t="str">
        <x:v>not-found</x:v>
      </x:c>
      <x:c r="O78" s="52" t="str">
        <x:v>not-found</x:v>
      </x:c>
      <x:c r="P78" s="52" t="str">
        <x:v>not-found</x:v>
      </x:c>
      <x:c r="Q78" s="55" t="str">
        <x:v>not-approved-by-this-classification</x:v>
      </x:c>
      <x:c r="R78" s="34" t="str">
        <x:v>split-business-design-interface-and-safety-claims-before-evidence-review-and-explicit-approval</x:v>
      </x:c>
      <x:c r="S78" s="34" t="str">
        <x:v>`I`；7 TBD，属地图/路径成本技术设计草案，不是可直接送审的人员用例。; detailed record: R03-use-cases.md line 77</x:v>
      </x:c>
      <x:c r="T78" s="35" t="str">
        <x:v>R03-use-cases.md:77</x:v>
      </x:c>
    </x:row>
    <x:row r="79" ht="48" customHeight="1">
      <x:c r="A79" s="44" t="str">
        <x:v>R03-32</x:v>
      </x:c>
      <x:c r="B79" s="45" t="str">
        <x:v>R03</x:v>
      </x:c>
      <x:c r="C79" s="34" t="str">
        <x:v>requirement-documents/03-use-cases/07-workflow-engine/uc-025-maintain-workflow-template.md</x:v>
      </x:c>
      <x:c r="D79" s="49" t="str">
        <x:v>859d4880dcbd0dfa294cd58763e8c4986bfe641126073cc007012a22d607213b</x:v>
      </x:c>
      <x:c r="E79" s="40" t="n">
        <x:v>8253</x:v>
      </x:c>
      <x:c r="F79" s="34" t="str">
        <x:v>tracked-clean</x:v>
      </x:c>
      <x:c r="G79" s="34" t="str">
        <x:v>tracked-clean</x:v>
      </x:c>
      <x:c r="H79" s="34" t="str">
        <x:v>candidate-requirement</x:v>
      </x:c>
      <x:c r="I79" s="34" t="str">
        <x:v>R03-I</x:v>
      </x:c>
      <x:c r="J79" s="34" t="str">
        <x:v>unapproved-internal-design-exploration</x:v>
      </x:c>
      <x:c r="K79" s="34" t="str">
        <x:v>`I`；内部编排平台候选；虽无 TBD 字样，仍无原始客户目标或批准链。</x:v>
      </x:c>
      <x:c r="L79" s="34" t="str">
        <x:v>[UC-025](../../../../requirement-documents/03-use-cases/07-workflow-engine/uc-025-maintain-workflow-template.md) `859d4880dcbd`；`0b→1d`; 工作流模板管理；BR-004/005/006</x:v>
      </x:c>
      <x:c r="M79" s="52" t="str">
        <x:v>not-found</x:v>
      </x:c>
      <x:c r="N79" s="52" t="str">
        <x:v>not-found</x:v>
      </x:c>
      <x:c r="O79" s="52" t="str">
        <x:v>not-found</x:v>
      </x:c>
      <x:c r="P79" s="52" t="str">
        <x:v>not-found</x:v>
      </x:c>
      <x:c r="Q79" s="55" t="str">
        <x:v>not-approved-by-this-classification</x:v>
      </x:c>
      <x:c r="R79" s="34" t="str">
        <x:v>split-business-design-interface-and-safety-claims-before-evidence-review-and-explicit-approval</x:v>
      </x:c>
      <x:c r="S79" s="34" t="str">
        <x:v>`I`；内部编排平台候选；虽无 TBD 字样，仍无原始客户目标或批准链。; detailed record: R03-use-cases.md line 78</x:v>
      </x:c>
      <x:c r="T79" s="35" t="str">
        <x:v>R03-use-cases.md:78</x:v>
      </x:c>
    </x:row>
    <x:row r="80" ht="48" customHeight="1">
      <x:c r="A80" s="44" t="str">
        <x:v>R03-33</x:v>
      </x:c>
      <x:c r="B80" s="45" t="str">
        <x:v>R03</x:v>
      </x:c>
      <x:c r="C80" s="34" t="str">
        <x:v>requirement-documents/03-use-cases/07-workflow-engine/uc-026-select-template-and-create-workflow-instance.md</x:v>
      </x:c>
      <x:c r="D80" s="49" t="str">
        <x:v>408299ca1a0c1599c4027202a4b6ed4db33f7917af8d0bf740f7d81c0cd94128</x:v>
      </x:c>
      <x:c r="E80" s="40" t="n">
        <x:v>9460</x:v>
      </x:c>
      <x:c r="F80" s="34" t="str">
        <x:v>tracked-clean</x:v>
      </x:c>
      <x:c r="G80" s="34" t="str">
        <x:v>tracked-clean</x:v>
      </x:c>
      <x:c r="H80" s="34" t="str">
        <x:v>candidate-requirement</x:v>
      </x:c>
      <x:c r="I80" s="34" t="str">
        <x:v>R03-I</x:v>
      </x:c>
      <x:c r="J80" s="34" t="str">
        <x:v>unapproved-internal-design-exploration</x:v>
      </x:c>
      <x:c r="K80" s="34" t="str">
        <x:v>`I`；系统内部过程，无原始用户来源；应随模板选择/版本绑定原子决策送审。</x:v>
      </x:c>
      <x:c r="L80" s="34" t="str">
        <x:v>[UC-026](../../../../requirement-documents/03-use-cases/07-workflow-engine/uc-026-select-template-and-create-workflow-instance.md) `408299ca1a0c`；`0b→1d→48`; 由 BR-003/004/005/006 派生的实例创建</x:v>
      </x:c>
      <x:c r="M80" s="52" t="str">
        <x:v>not-found</x:v>
      </x:c>
      <x:c r="N80" s="52" t="str">
        <x:v>not-found</x:v>
      </x:c>
      <x:c r="O80" s="52" t="str">
        <x:v>not-found</x:v>
      </x:c>
      <x:c r="P80" s="52" t="str">
        <x:v>not-found</x:v>
      </x:c>
      <x:c r="Q80" s="55" t="str">
        <x:v>not-approved-by-this-classification</x:v>
      </x:c>
      <x:c r="R80" s="34" t="str">
        <x:v>split-business-design-interface-and-safety-claims-before-evidence-review-and-explicit-approval</x:v>
      </x:c>
      <x:c r="S80" s="34" t="str">
        <x:v>`I`；系统内部过程，无原始用户来源；应随模板选择/版本绑定原子决策送审。; detailed record: R03-use-cases.md line 79</x:v>
      </x:c>
      <x:c r="T80" s="35" t="str">
        <x:v>R03-use-cases.md:79</x:v>
      </x:c>
    </x:row>
    <x:row r="81" ht="48" customHeight="1">
      <x:c r="A81" s="44" t="str">
        <x:v>R03-34</x:v>
      </x:c>
      <x:c r="B81" s="45" t="str">
        <x:v>R03</x:v>
      </x:c>
      <x:c r="C81" s="34" t="str">
        <x:v>requirement-documents/03-use-cases/07-workflow-engine/uc-027-execute-workflow-steps.md</x:v>
      </x:c>
      <x:c r="D81" s="49" t="str">
        <x:v>065d9853aae9b99e17fb7092c63f2e78570b8b5fb6d26327d9ce8bf28d5ef2e9</x:v>
      </x:c>
      <x:c r="E81" s="40" t="n">
        <x:v>10109</x:v>
      </x:c>
      <x:c r="F81" s="34" t="str">
        <x:v>tracked-clean</x:v>
      </x:c>
      <x:c r="G81" s="34" t="str">
        <x:v>tracked-clean</x:v>
      </x:c>
      <x:c r="H81" s="34" t="str">
        <x:v>candidate-requirement</x:v>
      </x:c>
      <x:c r="I81" s="34" t="str">
        <x:v>R03-I</x:v>
      </x:c>
      <x:c r="J81" s="34" t="str">
        <x:v>unapproved-internal-design-exploration</x:v>
      </x:c>
      <x:c r="K81" s="34" t="str">
        <x:v>`I`；编排用例，文档自述不取代原子 UC；不应单独当作客户需求。</x:v>
      </x:c>
      <x:c r="L81" s="34" t="str">
        <x:v>[UC-027](../../../../requirement-documents/03-use-cases/07-workflow-engine/uc-027-execute-workflow-steps.md) `065d9853aae9`；`0b→1d`; 由 BR-001/002/003/005/006 和步骤目录派生</x:v>
      </x:c>
      <x:c r="M81" s="52" t="str">
        <x:v>not-found</x:v>
      </x:c>
      <x:c r="N81" s="52" t="str">
        <x:v>not-found</x:v>
      </x:c>
      <x:c r="O81" s="52" t="str">
        <x:v>not-found</x:v>
      </x:c>
      <x:c r="P81" s="52" t="str">
        <x:v>not-found</x:v>
      </x:c>
      <x:c r="Q81" s="55" t="str">
        <x:v>not-approved-by-this-classification</x:v>
      </x:c>
      <x:c r="R81" s="34" t="str">
        <x:v>split-business-design-interface-and-safety-claims-before-evidence-review-and-explicit-approval</x:v>
      </x:c>
      <x:c r="S81" s="34" t="str">
        <x:v>`I`；编排用例，文档自述不取代原子 UC；不应单独当作客户需求。; detailed record: R03-use-cases.md line 80</x:v>
      </x:c>
      <x:c r="T81" s="35" t="str">
        <x:v>R03-use-cases.md:80</x:v>
      </x:c>
    </x:row>
    <x:row r="82" ht="48" customHeight="1">
      <x:c r="A82" s="44" t="str">
        <x:v>R03-35</x:v>
      </x:c>
      <x:c r="B82" s="45" t="str">
        <x:v>R03</x:v>
      </x:c>
      <x:c r="C82" s="34" t="str">
        <x:v>requirement-documents/03-use-cases/07-workflow-engine/uc-028-handle-workflow-step-exception.md</x:v>
      </x:c>
      <x:c r="D82" s="49" t="str">
        <x:v>cbe177b11c8cbb68c3bb9bcc9793563f2d4d6f64dcfc5e4e8823f222f24c0525</x:v>
      </x:c>
      <x:c r="E82" s="40" t="n">
        <x:v>9265</x:v>
      </x:c>
      <x:c r="F82" s="34" t="str">
        <x:v>tracked-clean</x:v>
      </x:c>
      <x:c r="G82" s="34" t="str">
        <x:v>tracked-clean</x:v>
      </x:c>
      <x:c r="H82" s="34" t="str">
        <x:v>candidate-requirement</x:v>
      </x:c>
      <x:c r="I82" s="34" t="str">
        <x:v>R03-I</x:v>
      </x:c>
      <x:c r="J82" s="34" t="str">
        <x:v>unapproved-internal-design-exploration</x:v>
      </x:c>
      <x:c r="K82" s="34" t="str">
        <x:v>`I`；异常策略内部候选；无批准链，且需与 UC-042 任务级故障分界。</x:v>
      </x:c>
      <x:c r="L82" s="34" t="str">
        <x:v>[UC-028](../../../../requirement-documents/03-use-cases/07-workflow-engine/uc-028-handle-workflow-step-exception.md) `cbe177b11c8c`；`0b→1d`; 由 BR-002/003/005/006 派生的步骤级重试/人工介入/终止</x:v>
      </x:c>
      <x:c r="M82" s="52" t="str">
        <x:v>not-found</x:v>
      </x:c>
      <x:c r="N82" s="52" t="str">
        <x:v>not-found</x:v>
      </x:c>
      <x:c r="O82" s="52" t="str">
        <x:v>not-found</x:v>
      </x:c>
      <x:c r="P82" s="52" t="str">
        <x:v>not-found</x:v>
      </x:c>
      <x:c r="Q82" s="55" t="str">
        <x:v>not-approved-by-this-classification</x:v>
      </x:c>
      <x:c r="R82" s="34" t="str">
        <x:v>split-business-design-interface-and-safety-claims-before-evidence-review-and-explicit-approval</x:v>
      </x:c>
      <x:c r="S82" s="34" t="str">
        <x:v>`I`；异常策略内部候选；无批准链，且需与 UC-042 任务级故障分界。; detailed record: R03-use-cases.md line 81</x:v>
      </x:c>
      <x:c r="T82" s="35" t="str">
        <x:v>R03-use-cases.md:81</x:v>
      </x:c>
    </x:row>
    <x:row r="83" ht="48" customHeight="1">
      <x:c r="A83" s="44" t="str">
        <x:v>R03-36</x:v>
      </x:c>
      <x:c r="B83" s="45" t="str">
        <x:v>R03</x:v>
      </x:c>
      <x:c r="C83" s="34" t="str">
        <x:v>requirement-documents/03-use-cases/07-workflow-engine/uc-029-view-workflow-instance-progress.md</x:v>
      </x:c>
      <x:c r="D83" s="49" t="str">
        <x:v>78550740ee36ed6cfeab598c11725c0f855dcfc0b8ab3530664e54ad3667c7e7</x:v>
      </x:c>
      <x:c r="E83" s="40" t="n">
        <x:v>8756</x:v>
      </x:c>
      <x:c r="F83" s="34" t="str">
        <x:v>tracked-clean</x:v>
      </x:c>
      <x:c r="G83" s="34" t="str">
        <x:v>tracked-clean</x:v>
      </x:c>
      <x:c r="H83" s="34" t="str">
        <x:v>candidate-requirement</x:v>
      </x:c>
      <x:c r="I83" s="34" t="str">
        <x:v>R03-I</x:v>
      </x:c>
      <x:c r="J83" s="34" t="str">
        <x:v>unapproved-internal-design-exploration</x:v>
      </x:c>
      <x:c r="K83" s="34" t="str">
        <x:v>`I`；可见性需求可再整理成送审候选，但当前主要是内部模型展示，无原始来源。</x:v>
      </x:c>
      <x:c r="L83" s="34" t="str">
        <x:v>[UC-029](../../../../requirement-documents/03-use-cases/07-workflow-engine/uc-029-view-workflow-instance-progress.md) `78550740ee36`；`0b→1d`; 由 BR-004/005/006 派生的流程进度查看</x:v>
      </x:c>
      <x:c r="M83" s="52" t="str">
        <x:v>not-found</x:v>
      </x:c>
      <x:c r="N83" s="52" t="str">
        <x:v>not-found</x:v>
      </x:c>
      <x:c r="O83" s="52" t="str">
        <x:v>not-found</x:v>
      </x:c>
      <x:c r="P83" s="52" t="str">
        <x:v>not-found</x:v>
      </x:c>
      <x:c r="Q83" s="55" t="str">
        <x:v>not-approved-by-this-classification</x:v>
      </x:c>
      <x:c r="R83" s="34" t="str">
        <x:v>split-business-design-interface-and-safety-claims-before-evidence-review-and-explicit-approval</x:v>
      </x:c>
      <x:c r="S83" s="34" t="str">
        <x:v>`I`；可见性需求可再整理成送审候选，但当前主要是内部模型展示，无原始来源。; detailed record: R03-use-cases.md line 82</x:v>
      </x:c>
      <x:c r="T83" s="35" t="str">
        <x:v>R03-use-cases.md:82</x:v>
      </x:c>
    </x:row>
    <x:row r="84" ht="48" customHeight="1">
      <x:c r="A84" s="44" t="str">
        <x:v>R03-37</x:v>
      </x:c>
      <x:c r="B84" s="45" t="str">
        <x:v>R03</x:v>
      </x:c>
      <x:c r="C84" s="34" t="str">
        <x:v>requirement-documents/03-use-cases/08-user-and-access/uc-030-maintain-user-account.md</x:v>
      </x:c>
      <x:c r="D84" s="49" t="str">
        <x:v>e3ff9ad327fa32862e937dc1b258ad9da10b6b40e200da99c1934031e3d32c33</x:v>
      </x:c>
      <x:c r="E84" s="40" t="n">
        <x:v>7393</x:v>
      </x:c>
      <x:c r="F84" s="34" t="str">
        <x:v>tracked-clean</x:v>
      </x:c>
      <x:c r="G84" s="34" t="str">
        <x:v>tracked-clean</x:v>
      </x:c>
      <x:c r="H84" s="34" t="str">
        <x:v>candidate-requirement</x:v>
      </x:c>
      <x:c r="I84" s="34" t="str">
        <x:v>R03-I</x:v>
      </x:c>
      <x:c r="J84" s="34" t="str">
        <x:v>unapproved-internal-design-exploration</x:v>
      </x:c>
      <x:c r="K84" s="34" t="str">
        <x:v>`I`；常规内部管理能力，无项目客户/信息安全原始决定；需 IT/安全送审。</x:v>
      </x:c>
      <x:c r="L84" s="34" t="str">
        <x:v>[UC-030](../../../../requirement-documents/03-use-cases/08-user-and-access/uc-030-maintain-user-account.md) `e3ff9ad327fa`；`0b→1d→ec`; 账号管理；BR-010/011</x:v>
      </x:c>
      <x:c r="M84" s="52" t="str">
        <x:v>not-found</x:v>
      </x:c>
      <x:c r="N84" s="52" t="str">
        <x:v>not-found</x:v>
      </x:c>
      <x:c r="O84" s="52" t="str">
        <x:v>not-found</x:v>
      </x:c>
      <x:c r="P84" s="52" t="str">
        <x:v>not-found</x:v>
      </x:c>
      <x:c r="Q84" s="55" t="str">
        <x:v>not-approved-by-this-classification</x:v>
      </x:c>
      <x:c r="R84" s="34" t="str">
        <x:v>split-business-design-interface-and-safety-claims-before-evidence-review-and-explicit-approval</x:v>
      </x:c>
      <x:c r="S84" s="34" t="str">
        <x:v>`I`；常规内部管理能力，无项目客户/信息安全原始决定；需 IT/安全送审。; detailed record: R03-use-cases.md line 83</x:v>
      </x:c>
      <x:c r="T84" s="35" t="str">
        <x:v>R03-use-cases.md:83</x:v>
      </x:c>
    </x:row>
    <x:row r="85" ht="48" customHeight="1">
      <x:c r="A85" s="44" t="str">
        <x:v>R03-38</x:v>
      </x:c>
      <x:c r="B85" s="45" t="str">
        <x:v>R03</x:v>
      </x:c>
      <x:c r="C85" s="34" t="str">
        <x:v>requirement-documents/03-use-cases/08-user-and-access/uc-031-maintain-role-and-permission.md</x:v>
      </x:c>
      <x:c r="D85" s="49" t="str">
        <x:v>32c699a9c4999785093670125eeb58881ee0a50516bce5486dd2c43bb957512e</x:v>
      </x:c>
      <x:c r="E85" s="40" t="n">
        <x:v>7089</x:v>
      </x:c>
      <x:c r="F85" s="34" t="str">
        <x:v>tracked-clean</x:v>
      </x:c>
      <x:c r="G85" s="34" t="str">
        <x:v>tracked-clean</x:v>
      </x:c>
      <x:c r="H85" s="34" t="str">
        <x:v>candidate-requirement</x:v>
      </x:c>
      <x:c r="I85" s="34" t="str">
        <x:v>R03-I</x:v>
      </x:c>
      <x:c r="J85" s="34" t="str">
        <x:v>unapproved-internal-design-exploration</x:v>
      </x:c>
      <x:c r="K85" s="34" t="str">
        <x:v>`I`；内部 RBAC 推演，需具名业务/安全责任人批准角色矩阵。</x:v>
      </x:c>
      <x:c r="L85" s="34" t="str">
        <x:v>[UC-031](../../../../requirement-documents/03-use-cases/08-user-and-access/uc-031-maintain-role-and-permission.md) `32c699a9c499`；`0b→1d→ec`; 角色与权限管理；BR-010</x:v>
      </x:c>
      <x:c r="M85" s="52" t="str">
        <x:v>not-found</x:v>
      </x:c>
      <x:c r="N85" s="52" t="str">
        <x:v>not-found</x:v>
      </x:c>
      <x:c r="O85" s="52" t="str">
        <x:v>not-found</x:v>
      </x:c>
      <x:c r="P85" s="52" t="str">
        <x:v>not-found</x:v>
      </x:c>
      <x:c r="Q85" s="55" t="str">
        <x:v>not-approved-by-this-classification</x:v>
      </x:c>
      <x:c r="R85" s="34" t="str">
        <x:v>split-business-design-interface-and-safety-claims-before-evidence-review-and-explicit-approval</x:v>
      </x:c>
      <x:c r="S85" s="34" t="str">
        <x:v>`I`；内部 RBAC 推演，需具名业务/安全责任人批准角色矩阵。; detailed record: R03-use-cases.md line 84</x:v>
      </x:c>
      <x:c r="T85" s="35" t="str">
        <x:v>R03-use-cases.md:84</x:v>
      </x:c>
    </x:row>
    <x:row r="86" ht="48" customHeight="1">
      <x:c r="A86" s="44" t="str">
        <x:v>R03-39</x:v>
      </x:c>
      <x:c r="B86" s="45" t="str">
        <x:v>R03</x:v>
      </x:c>
      <x:c r="C86" s="34" t="str">
        <x:v>requirement-documents/03-use-cases/08-user-and-access/uc-032-assign-user-roles.md</x:v>
      </x:c>
      <x:c r="D86" s="49" t="str">
        <x:v>5ce7d6f61a375373f739a25911ae429f1fbd2064e32ed2c5b60bc4653d0fa55c</x:v>
      </x:c>
      <x:c r="E86" s="40" t="n">
        <x:v>7040</x:v>
      </x:c>
      <x:c r="F86" s="34" t="str">
        <x:v>tracked-clean</x:v>
      </x:c>
      <x:c r="G86" s="34" t="str">
        <x:v>tracked-clean</x:v>
      </x:c>
      <x:c r="H86" s="34" t="str">
        <x:v>candidate-requirement</x:v>
      </x:c>
      <x:c r="I86" s="34" t="str">
        <x:v>R03-I</x:v>
      </x:c>
      <x:c r="J86" s="34" t="str">
        <x:v>unapproved-internal-design-exploration</x:v>
      </x:c>
      <x:c r="K86" s="34" t="str">
        <x:v>`I`；内部 RBAC 操作流程；没有权限所有者、双人复核或适用范围证据。</x:v>
      </x:c>
      <x:c r="L86" s="34" t="str">
        <x:v>[UC-032](../../../../requirement-documents/03-use-cases/08-user-and-access/uc-032-assign-user-roles.md) `5ce7d6f61a37`；`0b→1d→ec`; 用户角色分配；BR-010</x:v>
      </x:c>
      <x:c r="M86" s="52" t="str">
        <x:v>not-found</x:v>
      </x:c>
      <x:c r="N86" s="52" t="str">
        <x:v>not-found</x:v>
      </x:c>
      <x:c r="O86" s="52" t="str">
        <x:v>not-found</x:v>
      </x:c>
      <x:c r="P86" s="52" t="str">
        <x:v>not-found</x:v>
      </x:c>
      <x:c r="Q86" s="55" t="str">
        <x:v>not-approved-by-this-classification</x:v>
      </x:c>
      <x:c r="R86" s="34" t="str">
        <x:v>split-business-design-interface-and-safety-claims-before-evidence-review-and-explicit-approval</x:v>
      </x:c>
      <x:c r="S86" s="34" t="str">
        <x:v>`I`；内部 RBAC 操作流程；没有权限所有者、双人复核或适用范围证据。; detailed record: R03-use-cases.md line 85</x:v>
      </x:c>
      <x:c r="T86" s="35" t="str">
        <x:v>R03-use-cases.md:85</x:v>
      </x:c>
    </x:row>
    <x:row r="87" ht="48" customHeight="1">
      <x:c r="A87" s="44" t="str">
        <x:v>R03-40</x:v>
      </x:c>
      <x:c r="B87" s="45" t="str">
        <x:v>R03</x:v>
      </x:c>
      <x:c r="C87" s="34" t="str">
        <x:v>requirement-documents/03-use-cases/08-user-and-access/uc-033-login-and-session-management.md</x:v>
      </x:c>
      <x:c r="D87" s="49" t="str">
        <x:v>67094351a7e718e486c02f5f8df3ecb679bfc4c9addd7138fe569ec4b5811ab6</x:v>
      </x:c>
      <x:c r="E87" s="40" t="n">
        <x:v>6588</x:v>
      </x:c>
      <x:c r="F87" s="34" t="str">
        <x:v>tracked-clean</x:v>
      </x:c>
      <x:c r="G87" s="34" t="str">
        <x:v>tracked-clean</x:v>
      </x:c>
      <x:c r="H87" s="34" t="str">
        <x:v>candidate-requirement</x:v>
      </x:c>
      <x:c r="I87" s="34" t="str">
        <x:v>R03-I</x:v>
      </x:c>
      <x:c r="J87" s="34" t="str">
        <x:v>unapproved-internal-design-exploration</x:v>
      </x:c>
      <x:c r="K87" s="34" t="str">
        <x:v>`I`；安全机制内部候选，与 UC-043 现场 MES 身份会话不是同一范围；需分开审。</x:v>
      </x:c>
      <x:c r="L87" s="34" t="str">
        <x:v>[UC-033](../../../../requirement-documents/03-use-cases/08-user-and-access/uc-033-login-and-session-management.md) `67094351a7e7`；`0b→1d→ec`; 配置端登录/会话；BR-011</x:v>
      </x:c>
      <x:c r="M87" s="52" t="str">
        <x:v>not-found</x:v>
      </x:c>
      <x:c r="N87" s="52" t="str">
        <x:v>not-found</x:v>
      </x:c>
      <x:c r="O87" s="52" t="str">
        <x:v>not-found</x:v>
      </x:c>
      <x:c r="P87" s="52" t="str">
        <x:v>not-found</x:v>
      </x:c>
      <x:c r="Q87" s="55" t="str">
        <x:v>not-approved-by-this-classification</x:v>
      </x:c>
      <x:c r="R87" s="34" t="str">
        <x:v>split-business-design-interface-and-safety-claims-before-evidence-review-and-explicit-approval</x:v>
      </x:c>
      <x:c r="S87" s="34" t="str">
        <x:v>`I`；安全机制内部候选，与 UC-043 现场 MES 身份会话不是同一范围；需分开审。; detailed record: R03-use-cases.md line 86</x:v>
      </x:c>
      <x:c r="T87" s="35" t="str">
        <x:v>R03-use-cases.md:86</x:v>
      </x:c>
    </x:row>
    <x:row r="88" ht="48" customHeight="1">
      <x:c r="A88" s="44" t="str">
        <x:v>R03-41</x:v>
      </x:c>
      <x:c r="B88" s="45" t="str">
        <x:v>R03</x:v>
      </x:c>
      <x:c r="C88" s="34" t="str">
        <x:v>requirement-documents/03-use-cases/09-logs-and-audit/uc-034-query-and-export-audit-logs.md</x:v>
      </x:c>
      <x:c r="D88" s="49" t="str">
        <x:v>d811416a0e4a96a98c23c7f6bef829344a4861f821392e7012259b92f628d81b</x:v>
      </x:c>
      <x:c r="E88" s="40" t="n">
        <x:v>8488</x:v>
      </x:c>
      <x:c r="F88" s="34" t="str">
        <x:v>tracked-clean</x:v>
      </x:c>
      <x:c r="G88" s="34" t="str">
        <x:v>tracked-clean</x:v>
      </x:c>
      <x:c r="H88" s="34" t="str">
        <x:v>candidate-requirement</x:v>
      </x:c>
      <x:c r="I88" s="34" t="str">
        <x:v>R03-I</x:v>
      </x:c>
      <x:c r="J88" s="34" t="str">
        <x:v>unapproved-internal-design-exploration</x:v>
      </x:c>
      <x:c r="K88" s="34" t="str">
        <x:v>`I`；可再整理为利益相关方送审候选，但当前无合规权威来源、保留周期/脱敏批准。</x:v>
      </x:c>
      <x:c r="L88" s="34" t="str">
        <x:v>[UC-034](../../../../requirement-documents/03-use-cases/09-logs-and-audit/uc-034-query-and-export-audit-logs.md) `d811416a0e4a`；`0b→1d→ec`; 安全/合规审计查询；无 BR</x:v>
      </x:c>
      <x:c r="M88" s="52" t="str">
        <x:v>not-found</x:v>
      </x:c>
      <x:c r="N88" s="52" t="str">
        <x:v>not-found</x:v>
      </x:c>
      <x:c r="O88" s="52" t="str">
        <x:v>not-found</x:v>
      </x:c>
      <x:c r="P88" s="52" t="str">
        <x:v>not-found</x:v>
      </x:c>
      <x:c r="Q88" s="55" t="str">
        <x:v>not-approved-by-this-classification</x:v>
      </x:c>
      <x:c r="R88" s="34" t="str">
        <x:v>split-business-design-interface-and-safety-claims-before-evidence-review-and-explicit-approval</x:v>
      </x:c>
      <x:c r="S88" s="34" t="str">
        <x:v>`I`；可再整理为利益相关方送审候选，但当前无合规权威来源、保留周期/脱敏批准。; detailed record: R03-use-cases.md line 87</x:v>
      </x:c>
      <x:c r="T88" s="35" t="str">
        <x:v>R03-use-cases.md:87</x:v>
      </x:c>
    </x:row>
    <x:row r="89" ht="48" customHeight="1">
      <x:c r="A89" s="44" t="str">
        <x:v>R03-42</x:v>
      </x:c>
      <x:c r="B89" s="45" t="str">
        <x:v>R03</x:v>
      </x:c>
      <x:c r="C89" s="34" t="str">
        <x:v>requirement-documents/03-use-cases/09-logs-and-audit/uc-035-query-material-handling-history.md</x:v>
      </x:c>
      <x:c r="D89" s="49" t="str">
        <x:v>e55c081154495c17667b8499735f41535aaa7d5736386be222f0dcd6a88322bf</x:v>
      </x:c>
      <x:c r="E89" s="40" t="n">
        <x:v>7281</x:v>
      </x:c>
      <x:c r="F89" s="34" t="str">
        <x:v>tracked-clean</x:v>
      </x:c>
      <x:c r="G89" s="34" t="str">
        <x:v>tracked-clean</x:v>
      </x:c>
      <x:c r="H89" s="34" t="str">
        <x:v>candidate-requirement</x:v>
      </x:c>
      <x:c r="I89" s="34" t="str">
        <x:v>R03-I</x:v>
      </x:c>
      <x:c r="J89" s="34" t="str">
        <x:v>unapproved-internal-design-exploration</x:v>
      </x:c>
      <x:c r="K89" s="34" t="str">
        <x:v>`I`；业务查询目标可后续送审，但当前的查询键、权限范围与保留义务均为内部派生。</x:v>
      </x:c>
      <x:c r="L89" s="34" t="str">
        <x:v>[UC-035](../../../../requirement-documents/03-use-cases/09-logs-and-audit/uc-035-query-material-handling-history.md) `e55c08115449`；`0b→1d`; 从 UC-001/002/005/006/010 的 Postcondition 事件派生的只读追溯</x:v>
      </x:c>
      <x:c r="M89" s="52" t="str">
        <x:v>not-found</x:v>
      </x:c>
      <x:c r="N89" s="52" t="str">
        <x:v>not-found</x:v>
      </x:c>
      <x:c r="O89" s="52" t="str">
        <x:v>not-found</x:v>
      </x:c>
      <x:c r="P89" s="52" t="str">
        <x:v>not-found</x:v>
      </x:c>
      <x:c r="Q89" s="55" t="str">
        <x:v>not-approved-by-this-classification</x:v>
      </x:c>
      <x:c r="R89" s="34" t="str">
        <x:v>split-business-design-interface-and-safety-claims-before-evidence-review-and-explicit-approval</x:v>
      </x:c>
      <x:c r="S89" s="34" t="str">
        <x:v>`I`；业务查询目标可后续送审，但当前的查询键、权限范围与保留义务均为内部派生。; detailed record: R03-use-cases.md line 88</x:v>
      </x:c>
      <x:c r="T89" s="35" t="str">
        <x:v>R03-use-cases.md:88</x:v>
      </x:c>
    </x:row>
    <x:row r="90" ht="48" customHeight="1">
      <x:c r="A90" s="44" t="str">
        <x:v>R03-43</x:v>
      </x:c>
      <x:c r="B90" s="45" t="str">
        <x:v>R03</x:v>
      </x:c>
      <x:c r="C90" s="34" t="str">
        <x:v>requirement-documents/03-use-cases/09-logs-and-audit/uc-036-query-and-stream-system-logs.md</x:v>
      </x:c>
      <x:c r="D90" s="49" t="str">
        <x:v>c6ca2cee799167b4de0203d487a6f2588e2e98c3defdfad978b64cf2d27c5823</x:v>
      </x:c>
      <x:c r="E90" s="40" t="n">
        <x:v>8039</x:v>
      </x:c>
      <x:c r="F90" s="34" t="str">
        <x:v>tracked-clean</x:v>
      </x:c>
      <x:c r="G90" s="34" t="str">
        <x:v>tracked-clean</x:v>
      </x:c>
      <x:c r="H90" s="34" t="str">
        <x:v>candidate-requirement</x:v>
      </x:c>
      <x:c r="I90" s="34" t="str">
        <x:v>R03-I</x:v>
      </x:c>
      <x:c r="J90" s="34" t="str">
        <x:v>unapproved-internal-design-exploration</x:v>
      </x:c>
      <x:c r="K90" s="34" t="str">
        <x:v>`I`；运维/排障内部能力；敏感字段、脱敏、可见组件范围需 IT/安全权威方确认。</x:v>
      </x:c>
      <x:c r="L90" s="34" t="str">
        <x:v>[UC-036](../../../../requirement-documents/03-use-cases/09-logs-and-audit/uc-036-query-and-stream-system-logs.md) `c6ca2cee7991`；`0b→1d`; 技术日志实时查看；无 BR</x:v>
      </x:c>
      <x:c r="M90" s="52" t="str">
        <x:v>not-found</x:v>
      </x:c>
      <x:c r="N90" s="52" t="str">
        <x:v>not-found</x:v>
      </x:c>
      <x:c r="O90" s="52" t="str">
        <x:v>not-found</x:v>
      </x:c>
      <x:c r="P90" s="52" t="str">
        <x:v>not-found</x:v>
      </x:c>
      <x:c r="Q90" s="55" t="str">
        <x:v>not-approved-by-this-classification</x:v>
      </x:c>
      <x:c r="R90" s="34" t="str">
        <x:v>split-business-design-interface-and-safety-claims-before-evidence-review-and-explicit-approval</x:v>
      </x:c>
      <x:c r="S90" s="34" t="str">
        <x:v>`I`；运维/排障内部能力；敏感字段、脱敏、可见组件范围需 IT/安全权威方确认。; detailed record: R03-use-cases.md line 89</x:v>
      </x:c>
      <x:c r="T90" s="35" t="str">
        <x:v>R03-use-cases.md:89</x:v>
      </x:c>
    </x:row>
    <x:row r="91" ht="48" customHeight="1">
      <x:c r="A91" s="44" t="str">
        <x:v>R03-44</x:v>
      </x:c>
      <x:c r="B91" s="45" t="str">
        <x:v>R03</x:v>
      </x:c>
      <x:c r="C91" s="34" t="str">
        <x:v>requirement-documents/03-use-cases/10-safety-and-interlock/uc-004-slot-door-safety-interlock.md</x:v>
      </x:c>
      <x:c r="D91" s="49" t="str">
        <x:v>3b0bb4b8c6ae07cc894c0f966c3123954700c3b4f49b4ebff4b2c0567248e114</x:v>
      </x:c>
      <x:c r="E91" s="40" t="n">
        <x:v>19378</x:v>
      </x:c>
      <x:c r="F91" s="34" t="str">
        <x:v>tracked-clean</x:v>
      </x:c>
      <x:c r="G91" s="34" t="str">
        <x:v>tracked-clean</x:v>
      </x:c>
      <x:c r="H91" s="34" t="str">
        <x:v>candidate-requirement</x:v>
      </x:c>
      <x:c r="I91" s="34" t="str">
        <x:v>R03-I</x:v>
      </x:c>
      <x:c r="J91" s="34" t="str">
        <x:v>unapproved-internal-design-exploration</x:v>
      </x:c>
      <x:c r="K91" s="34" t="str">
        <x:v>`I`；5 TBD；查询/轮询拒绝、暂停/恢复/取消是安全关键内部方案，且文档明说无硬件联锁；必须单独安全送审，不能因“与 RIOT 确认”就批准。</x:v>
      </x:c>
      <x:c r="L91" s="34" t="str">
        <x:v>[UC-004](../../../../requirement-documents/03-use-cases/10-safety-and-interlock/uc-004-slot-door-safety-interlock.md) `3b0bb4b8c6ae`；`48`; 从 UC-001 开门时移动异常拆分成全局软件安全联锁；BR-002</x:v>
      </x:c>
      <x:c r="M91" s="52" t="str">
        <x:v>not-found</x:v>
      </x:c>
      <x:c r="N91" s="52" t="str">
        <x:v>not-found</x:v>
      </x:c>
      <x:c r="O91" s="52" t="str">
        <x:v>not-found</x:v>
      </x:c>
      <x:c r="P91" s="52" t="str">
        <x:v>not-found</x:v>
      </x:c>
      <x:c r="Q91" s="55" t="str">
        <x:v>not-approved-by-this-classification</x:v>
      </x:c>
      <x:c r="R91" s="34" t="str">
        <x:v>split-business-design-interface-and-safety-claims-before-evidence-review-and-explicit-approval</x:v>
      </x:c>
      <x:c r="S91" s="34" t="str">
        <x:v>`I`；5 TBD；查询/轮询拒绝、暂停/恢复/取消是安全关键内部方案，且文档明说无硬件联锁；必须单独安全送审，不能因“与 RIOT 确认”就批准。; detailed record: R03-use-cases.md line 90</x:v>
      </x:c>
      <x:c r="T91" s="35" t="str">
        <x:v>R03-use-cases.md:90</x:v>
      </x:c>
    </x:row>
    <x:row r="92" ht="48" customHeight="1">
      <x:c r="A92" s="44" t="str">
        <x:v>R03-45</x:v>
      </x:c>
      <x:c r="B92" s="45" t="str">
        <x:v>R03</x:v>
      </x:c>
      <x:c r="C92" s="34" t="str">
        <x:v>requirement-documents/03-use-cases/11-agv-parking/uc-040-maintain-agv-parking-point-configuration.md</x:v>
      </x:c>
      <x:c r="D92" s="49" t="str">
        <x:v>c9ca1052d743953eb2378ea213378af49b4e6d34abc13aecfcaa428a498608df</x:v>
      </x:c>
      <x:c r="E92" s="40" t="n">
        <x:v>7170</x:v>
      </x:c>
      <x:c r="F92" s="34" t="str">
        <x:v>tracked-clean</x:v>
      </x:c>
      <x:c r="G92" s="34" t="str">
        <x:v>tracked-clean</x:v>
      </x:c>
      <x:c r="H92" s="34" t="str">
        <x:v>candidate-requirement</x:v>
      </x:c>
      <x:c r="I92" s="34" t="str">
        <x:v>R03-C</x:v>
      </x:c>
      <x:c r="J92" s="34" t="str">
        <x:v>unapproved-use-case-candidate-for-human-review</x:v>
      </x:c>
      <x:c r="K92" s="34" t="str">
        <x:v>`C`；停靠点配置可送审；3 TBD，保存前是否禁用车辆等未定。</x:v>
      </x:c>
      <x:c r="L92" s="34" t="str">
        <x:v>[UC-040](../../../../requirement-documents/03-use-cases/11-agv-parking/uc-040-maintain-agv-parking-point-configuration.md) `c9ca1052d743`；`48`; 从 [vision-and-scope.md](../../../../requirement-documents/00-vision/vision-and-scope.md) “返回驻点”填补配置缺口；BR-009</x:v>
      </x:c>
      <x:c r="M92" s="52" t="str">
        <x:v>not-found</x:v>
      </x:c>
      <x:c r="N92" s="52" t="str">
        <x:v>not-found</x:v>
      </x:c>
      <x:c r="O92" s="52" t="str">
        <x:v>not-found</x:v>
      </x:c>
      <x:c r="P92" s="52" t="str">
        <x:v>not-found</x:v>
      </x:c>
      <x:c r="Q92" s="55" t="str">
        <x:v>not-approved-by-this-classification</x:v>
      </x:c>
      <x:c r="R92" s="34" t="str">
        <x:v>candidate-only-after-flow-level-decomposition-evidence-review-and-explicit-approval</x:v>
      </x:c>
      <x:c r="S92" s="34" t="str">
        <x:v>`C`；停靠点配置可送审；3 TBD，保存前是否禁用车辆等未定。; detailed record: R03-use-cases.md line 91</x:v>
      </x:c>
      <x:c r="T92" s="35" t="str">
        <x:v>R03-use-cases.md:91</x:v>
      </x:c>
    </x:row>
    <x:row r="93" ht="48" customHeight="1">
      <x:c r="A93" s="44" t="str">
        <x:v>R03-46</x:v>
      </x:c>
      <x:c r="B93" s="45" t="str">
        <x:v>R03</x:v>
      </x:c>
      <x:c r="C93" s="34" t="str">
        <x:v>requirement-documents/03-use-cases/11-agv-parking/uc-041-return-idle-agv-to-parking-point.md</x:v>
      </x:c>
      <x:c r="D93" s="49" t="str">
        <x:v>98a1037dc6f0563be82c19ae4628b7b773d1d5aa44f95cf988ad6fd7daae3cf5</x:v>
      </x:c>
      <x:c r="E93" s="40" t="n">
        <x:v>10362</x:v>
      </x:c>
      <x:c r="F93" s="34" t="str">
        <x:v>tracked-clean</x:v>
      </x:c>
      <x:c r="G93" s="34" t="str">
        <x:v>tracked-clean</x:v>
      </x:c>
      <x:c r="H93" s="34" t="str">
        <x:v>candidate-requirement</x:v>
      </x:c>
      <x:c r="I93" s="34" t="str">
        <x:v>R03-C</x:v>
      </x:c>
      <x:c r="J93" s="34" t="str">
        <x:v>unapproved-use-case-candidate-for-human-review</x:v>
      </x:c>
      <x:c r="K93" s="34" t="str">
        <x:v>`C`；“空闲返驻点”目标可送审；7 TBD，与 UC-008/012 的竞争、锁和重试是内部设计。</x:v>
      </x:c>
      <x:c r="L93" s="34" t="str">
        <x:v>[UC-041](../../../../requirement-documents/03-use-cases/11-agv-parking/uc-041-return-idle-agv-to-parking-point.md) `98a1037dc6f0`；`48`; 从同一愿景条目填补自动执行缺口；BR-009</x:v>
      </x:c>
      <x:c r="M93" s="52" t="str">
        <x:v>not-found</x:v>
      </x:c>
      <x:c r="N93" s="52" t="str">
        <x:v>not-found</x:v>
      </x:c>
      <x:c r="O93" s="52" t="str">
        <x:v>not-found</x:v>
      </x:c>
      <x:c r="P93" s="52" t="str">
        <x:v>not-found</x:v>
      </x:c>
      <x:c r="Q93" s="55" t="str">
        <x:v>not-approved-by-this-classification</x:v>
      </x:c>
      <x:c r="R93" s="34" t="str">
        <x:v>candidate-only-after-flow-level-decomposition-evidence-review-and-explicit-approval</x:v>
      </x:c>
      <x:c r="S93" s="34" t="str">
        <x:v>`C`；“空闲返驻点”目标可送审；7 TBD，与 UC-008/012 的竞争、锁和重试是内部设计。; detailed record: R03-use-cases.md line 92</x:v>
      </x:c>
      <x:c r="T93" s="35" t="str">
        <x:v>R03-use-cases.md:92</x:v>
      </x:c>
    </x:row>
    <x:row r="94" ht="48" customHeight="1">
      <x:c r="A94" s="44" t="str">
        <x:v>R03-47</x:v>
      </x:c>
      <x:c r="B94" s="45" t="str">
        <x:v>R03</x:v>
      </x:c>
      <x:c r="C94" s="34" t="str">
        <x:v>requirement-documents/03-use-cases/可能有哪些user case.md</x:v>
      </x:c>
      <x:c r="D94" s="49" t="str">
        <x:v>e3b0c44298fc1c149afbf4c8996fb92427ae41e4649b934ca495991b7852b855</x:v>
      </x:c>
      <x:c r="E94" s="40" t="n">
        <x:v>0</x:v>
      </x:c>
      <x:c r="F94" s="34" t="str">
        <x:v>untracked</x:v>
      </x:c>
      <x:c r="G94" s="34" t="str">
        <x:v>tracked-clean</x:v>
      </x:c>
      <x:c r="H94" s="34" t="str">
        <x:v>candidate-requirement</x:v>
      </x:c>
      <x:c r="I94" s="34" t="str">
        <x:v>R03-T</x:v>
      </x:c>
      <x:c r="J94" s="34" t="str">
        <x:v>empty-placeholder-or-todo</x:v>
      </x:c>
      <x:c r="K94" s="34" t="str">
        <x:v>`T`；只能证明曾创建一个用例头脑风暴/待办路径；**无任何可恢复的场景、来源、范围或批准内容**，不能生成需求。</x:v>
      </x:c>
      <x:c r="L94" s="34" t="str">
        <x:v>[可能有哪些 user case.md](../../../../requirement-documents/03-use-cases/%E5%8F%AF%E8%83%BD%E6%9C%89%E5%93%AA%E4%BA%9Buser%20case.md) `e3b0c44298fc`；`96`; 0 字节空文件；勘误后为 `tracked-clean`；固定 HEAD blob 为 Git 空 blob `e69de29…`</x:v>
      </x:c>
      <x:c r="M94" s="52" t="str">
        <x:v>not-found</x:v>
      </x:c>
      <x:c r="N94" s="52" t="str">
        <x:v>not-found</x:v>
      </x:c>
      <x:c r="O94" s="52" t="str">
        <x:v>not-found</x:v>
      </x:c>
      <x:c r="P94" s="52" t="str">
        <x:v>not-found</x:v>
      </x:c>
      <x:c r="Q94" s="55" t="str">
        <x:v>not-approved-by-this-classification</x:v>
      </x:c>
      <x:c r="R94" s="34" t="str">
        <x:v>do-not-extract-from-this-document</x:v>
      </x:c>
      <x:c r="S94" s="34" t="str">
        <x:v>`T`；只能证明曾创建一个用例头脑风暴/待办路径；**无任何可恢复的场景、来源、范围或批准内容**，不能生成需求。; detailed record: R03-use-cases.md line 98</x:v>
      </x:c>
      <x:c r="T94" s="35" t="str">
        <x:v>R03-use-cases.md:98</x:v>
      </x:c>
    </x:row>
    <x:row r="95" ht="48" customHeight="1">
      <x:c r="A95" s="44" t="str">
        <x:v>R03-48</x:v>
      </x:c>
      <x:c r="B95" s="45" t="str">
        <x:v>R03</x:v>
      </x:c>
      <x:c r="C95" s="34" t="str">
        <x:v>requirement-documents/03-use-cases/uc-template-guide.md</x:v>
      </x:c>
      <x:c r="D95" s="49" t="str">
        <x:v>c28f3e41cf01187ca1b7ead33dddf1d21794467922359ef41dc9a2fec2ab1082</x:v>
      </x:c>
      <x:c r="E95" s="40" t="n">
        <x:v>6287</x:v>
      </x:c>
      <x:c r="F95" s="34" t="str">
        <x:v>tracked-clean</x:v>
      </x:c>
      <x:c r="G95" s="34" t="str">
        <x:v>tracked-clean</x:v>
      </x:c>
      <x:c r="H95" s="34" t="str">
        <x:v>candidate-requirement</x:v>
      </x:c>
      <x:c r="I95" s="34" t="str">
        <x:v>R03-G</x:v>
      </x:c>
      <x:c r="J95" s="34" t="str">
        <x:v>writing-guide</x:v>
      </x:c>
      <x:c r="K95" s="34" t="str">
        <x:v>`G`；只是内部写作/结构参考；指南中说可用 Notes 记录“用户澄清”，但 Notes 不会自动成为批准证据，也不表达系统需求。</x:v>
      </x:c>
      <x:c r="L95" s="34" t="str">
        <x:v>[uc-template-guide.md](../../../../requirement-documents/03-use-cases/uc-template-guide.md) `c28f3e41cf01`；`96`; `type: template-guide,status: reference`；规定 frontmatter、正常/备选/异常流程及 Notes 的写法</x:v>
      </x:c>
      <x:c r="M95" s="52" t="str">
        <x:v>not-found</x:v>
      </x:c>
      <x:c r="N95" s="52" t="str">
        <x:v>not-found</x:v>
      </x:c>
      <x:c r="O95" s="52" t="str">
        <x:v>not-found</x:v>
      </x:c>
      <x:c r="P95" s="52" t="str">
        <x:v>not-found</x:v>
      </x:c>
      <x:c r="Q95" s="55" t="str">
        <x:v>not-approved-by-this-classification</x:v>
      </x:c>
      <x:c r="R95" s="34" t="str">
        <x:v>do-not-extract-from-this-document</x:v>
      </x:c>
      <x:c r="S95" s="34" t="str">
        <x:v>`G`；只是内部写作/结构参考；指南中说可用 Notes 记录“用户澄清”，但 Notes 不会自动成为批准证据，也不表达系统需求。; detailed record: R03-use-cases.md line 99</x:v>
      </x:c>
      <x:c r="T95" s="35" t="str">
        <x:v>R03-use-cases.md:99</x:v>
      </x:c>
    </x:row>
    <x:row r="96" ht="48" customHeight="1">
      <x:c r="A96" s="44" t="str">
        <x:v>R04-01</x:v>
      </x:c>
      <x:c r="B96" s="45" t="str">
        <x:v>R04</x:v>
      </x:c>
      <x:c r="C96" s="34" t="str">
        <x:v>requirement-documents/04-functional-requirements/01-site-operations/fr-001-sublot-task-validity-and-dispatch-range-check.md</x:v>
      </x:c>
      <x:c r="D96" s="49" t="str">
        <x:v>a63fc423be3877da04b4c116938f4a92813d5f0fe28070c67237dc8dc0e09379</x:v>
      </x:c>
      <x:c r="E96" s="40" t="n">
        <x:v>4547</x:v>
      </x:c>
      <x:c r="F96" s="34" t="str">
        <x:v>tracked-clean</x:v>
      </x:c>
      <x:c r="G96" s="34" t="str">
        <x:v>tracked-clean</x:v>
      </x:c>
      <x:c r="H96" s="34" t="str">
        <x:v>candidate-requirement</x:v>
      </x:c>
      <x:c r="I96" s="34" t="str">
        <x:v>internal-derived-draft-functional-requirement-candidate</x:v>
      </x:c>
      <x:c r="J96" s="34" t="str">
        <x:v>unapproved-internal-derived-functional-requirement</x:v>
      </x:c>
      <x:c r="K96" s="34" t="str">
        <x:v>`draft`、无批准；站点作业内部派生候选；按 AC-1∼4 拆任务存在/范围/服务失败。</x:v>
      </x:c>
      <x:c r="L96" s="34" t="str">
        <x:v>[FR-001](../../../../requirement-documents/04-functional-requirements/01-site-operations/fr-001-sublot-task-validity-and-dispatch-range-check.md) `a63fc423be38`；`ec`; Origin: UC-001 + BR-001</x:v>
      </x:c>
      <x:c r="M96" s="52" t="str">
        <x:v>not-found</x:v>
      </x:c>
      <x:c r="N96" s="52" t="str">
        <x:v>not-found</x:v>
      </x:c>
      <x:c r="O96" s="52" t="str">
        <x:v>not-found</x:v>
      </x:c>
      <x:c r="P96" s="52" t="str">
        <x:v>not-found</x:v>
      </x:c>
      <x:c r="Q96" s="55" t="str">
        <x:v>not-approved-by-this-classification</x:v>
      </x:c>
      <x:c r="R96" s="34" t="str">
        <x:v>candidate-only-after-acceptance-criterion-level-decomposition-evidence-review-and-explicit-approval</x:v>
      </x:c>
      <x:c r="S96" s="34" t="str">
        <x:v>`draft`、无批准；站点作业内部派生候选；按 AC-1∼4 拆任务存在/范围/服务失败。; detailed record: R04-functional-requirements.md matrix row 01</x:v>
      </x:c>
      <x:c r="T96" s="35" t="str">
        <x:v>R04-functional-requirements.md:25</x:v>
      </x:c>
    </x:row>
    <x:row r="97" ht="48" customHeight="1">
      <x:c r="A97" s="44" t="str">
        <x:v>R04-02</x:v>
      </x:c>
      <x:c r="B97" s="45" t="str">
        <x:v>R04</x:v>
      </x:c>
      <x:c r="C97" s="34" t="str">
        <x:v>requirement-documents/04-functional-requirements/01-site-operations/fr-002-slot-unlock-occupancy-confirm-and-state-persist.md</x:v>
      </x:c>
      <x:c r="D97" s="49" t="str">
        <x:v>e67684f850cc13ef40e71d2cd12d82c8abe5b1fd051c2f86dbdfd385c5a62d7c</x:v>
      </x:c>
      <x:c r="E97" s="40" t="n">
        <x:v>11435</x:v>
      </x:c>
      <x:c r="F97" s="34" t="str">
        <x:v>tracked-clean</x:v>
      </x:c>
      <x:c r="G97" s="34" t="str">
        <x:v>tracked-clean</x:v>
      </x:c>
      <x:c r="H97" s="34" t="str">
        <x:v>candidate-requirement</x:v>
      </x:c>
      <x:c r="I97" s="34" t="str">
        <x:v>internal-derived-draft-functional-requirement-candidate</x:v>
      </x:c>
      <x:c r="J97" s="34" t="str">
        <x:v>unapproved-internal-derived-functional-requirement</x:v>
      </x:c>
      <x:c r="K97" s="34" t="str">
        <x:v>`draft`、无批准；高相关但安全/补偿混合；按 AC-1∼16 逐条拆开锁、光幕、占用、补偿决策与恢复。</x:v>
      </x:c>
      <x:c r="L97" s="34" t="str">
        <x:v>[FR-002](../../../../requirement-documents/04-functional-requirements/01-site-operations/fr-002-slot-unlock-occupancy-confirm-and-state-persist.md) `e67684f850cc`；`ec→49`; UC-001/004/014 + BR-013；后期大幅改写硬件恢复语义</x:v>
      </x:c>
      <x:c r="M97" s="52" t="str">
        <x:v>not-found</x:v>
      </x:c>
      <x:c r="N97" s="52" t="str">
        <x:v>not-found</x:v>
      </x:c>
      <x:c r="O97" s="52" t="str">
        <x:v>not-found</x:v>
      </x:c>
      <x:c r="P97" s="52" t="str">
        <x:v>not-found</x:v>
      </x:c>
      <x:c r="Q97" s="55" t="str">
        <x:v>not-approved-by-this-classification</x:v>
      </x:c>
      <x:c r="R97" s="34" t="str">
        <x:v>candidate-only-after-acceptance-criterion-level-decomposition-evidence-review-and-explicit-approval</x:v>
      </x:c>
      <x:c r="S97" s="34" t="str">
        <x:v>`draft`、无批准；高相关但安全/补偿混合；按 AC-1∼16 逐条拆开锁、光幕、占用、补偿决策与恢复。; detailed record: R04-functional-requirements.md matrix row 02</x:v>
      </x:c>
      <x:c r="T97" s="35" t="str">
        <x:v>R04-functional-requirements.md:26</x:v>
      </x:c>
    </x:row>
    <x:row r="98" ht="48" customHeight="1">
      <x:c r="A98" s="44" t="str">
        <x:v>R04-03</x:v>
      </x:c>
      <x:c r="B98" s="45" t="str">
        <x:v>R04</x:v>
      </x:c>
      <x:c r="C98" s="34" t="str">
        <x:v>requirement-documents/04-functional-requirements/01-site-operations/fr-003-confirm-completion-eligibility-check.md</x:v>
      </x:c>
      <x:c r="D98" s="49" t="str">
        <x:v>6a7072536249b2967993cfb855c344e1b9eddf9fe98730d187b3846aa1dfc332</x:v>
      </x:c>
      <x:c r="E98" s="40" t="n">
        <x:v>2458</x:v>
      </x:c>
      <x:c r="F98" s="34" t="str">
        <x:v>tracked-clean</x:v>
      </x:c>
      <x:c r="G98" s="34" t="str">
        <x:v>tracked-clean</x:v>
      </x:c>
      <x:c r="H98" s="34" t="str">
        <x:v>candidate-requirement</x:v>
      </x:c>
      <x:c r="I98" s="34" t="str">
        <x:v>internal-derived-draft-functional-requirement-candidate</x:v>
      </x:c>
      <x:c r="J98" s="34" t="str">
        <x:v>unapproved-internal-derived-functional-requirement</x:v>
      </x:c>
      <x:c r="K98" s="34" t="str">
        <x:v>`draft`、无批准；当前是 StopClosure 内部派生版；AC-1∼3。</x:v>
      </x:c>
      <x:c r="L98" s="34" t="str">
        <x:v>[FR-003](../../../../requirement-documents/04-functional-requirements/01-site-operations/fr-003-confirm-completion-eligibility-check.md) `6a7072536249`；`ec→49`; 无 Origin 节；Related 指 UC-002/046，Notes 指 ADR-0054/0055 替代旧语义</x:v>
      </x:c>
      <x:c r="M98" s="52" t="str">
        <x:v>not-found</x:v>
      </x:c>
      <x:c r="N98" s="52" t="str">
        <x:v>not-found</x:v>
      </x:c>
      <x:c r="O98" s="52" t="str">
        <x:v>not-found</x:v>
      </x:c>
      <x:c r="P98" s="52" t="str">
        <x:v>not-found</x:v>
      </x:c>
      <x:c r="Q98" s="55" t="str">
        <x:v>not-approved-by-this-classification</x:v>
      </x:c>
      <x:c r="R98" s="34" t="str">
        <x:v>candidate-only-after-acceptance-criterion-level-decomposition-evidence-review-and-explicit-approval</x:v>
      </x:c>
      <x:c r="S98" s="34" t="str">
        <x:v>`draft`、无批准；当前是 StopClosure 内部派生版；AC-1∼3。; detailed record: R04-functional-requirements.md matrix row 03</x:v>
      </x:c>
      <x:c r="T98" s="35" t="str">
        <x:v>R04-functional-requirements.md:27</x:v>
      </x:c>
    </x:row>
    <x:row r="99" ht="48" customHeight="1">
      <x:c r="A99" s="44" t="str">
        <x:v>R04-04</x:v>
      </x:c>
      <x:c r="B99" s="45" t="str">
        <x:v>R04</x:v>
      </x:c>
      <x:c r="C99" s="34" t="str">
        <x:v>requirement-documents/04-functional-requirements/01-site-operations/fr-004-batch-task-completion-session-closure-and-non-reversibility.md</x:v>
      </x:c>
      <x:c r="D99" s="49" t="str">
        <x:v>4f34327fada46b9fb6a8768294bca8256080bc604df7297f1aeea79b2b118815</x:v>
      </x:c>
      <x:c r="E99" s="40" t="n">
        <x:v>2617</x:v>
      </x:c>
      <x:c r="F99" s="34" t="str">
        <x:v>tracked-clean</x:v>
      </x:c>
      <x:c r="G99" s="34" t="str">
        <x:v>tracked-clean</x:v>
      </x:c>
      <x:c r="H99" s="34" t="str">
        <x:v>candidate-requirement</x:v>
      </x:c>
      <x:c r="I99" s="34" t="str">
        <x:v>internal-derived-draft-functional-requirement-candidate</x:v>
      </x:c>
      <x:c r="J99" s="34" t="str">
        <x:v>unapproved-internal-derived-functional-requirement</x:v>
      </x:c>
      <x:c r="K99" s="34" t="str">
        <x:v>`draft`、无批准；内部 StopClosureCommit 设计；AC-1∼4 拆原子提交/会话/投影/移动失败。</x:v>
      </x:c>
      <x:c r="L99" s="34" t="str">
        <x:v>[FR-004](../../../../requirement-documents/04-functional-requirements/01-site-operations/fr-004-batch-task-completion-session-closure-and-non-reversibility.md) `4f34327fada4`；`ec→49`; 无 Origin；UC-002/046 + FR-003/013/031，Notes 明示 LoadBatch 替代旧“批量确认”</x:v>
      </x:c>
      <x:c r="M99" s="52" t="str">
        <x:v>not-found</x:v>
      </x:c>
      <x:c r="N99" s="52" t="str">
        <x:v>not-found</x:v>
      </x:c>
      <x:c r="O99" s="52" t="str">
        <x:v>not-found</x:v>
      </x:c>
      <x:c r="P99" s="52" t="str">
        <x:v>not-found</x:v>
      </x:c>
      <x:c r="Q99" s="55" t="str">
        <x:v>not-approved-by-this-classification</x:v>
      </x:c>
      <x:c r="R99" s="34" t="str">
        <x:v>candidate-only-after-acceptance-criterion-level-decomposition-evidence-review-and-explicit-approval</x:v>
      </x:c>
      <x:c r="S99" s="34" t="str">
        <x:v>`draft`、无批准；内部 StopClosureCommit 设计；AC-1∼4 拆原子提交/会话/投影/移动失败。; detailed record: R04-functional-requirements.md matrix row 04</x:v>
      </x:c>
      <x:c r="T99" s="35" t="str">
        <x:v>R04-functional-requirements.md:28</x:v>
      </x:c>
    </x:row>
    <x:row r="100" ht="48" customHeight="1">
      <x:c r="A100" s="44" t="str">
        <x:v>R04-05</x:v>
      </x:c>
      <x:c r="B100" s="45" t="str">
        <x:v>R04</x:v>
      </x:c>
      <x:c r="C100" s="34" t="str">
        <x:v>requirement-documents/04-functional-requirements/01-site-operations/fr-005-mis-stored-retrieval-eligibility-check.md</x:v>
      </x:c>
      <x:c r="D100" s="49" t="str">
        <x:v>ba4726149cbd809f1bae3101db5b07a283d1817a953c711158dd9ff36be2b74c</x:v>
      </x:c>
      <x:c r="E100" s="40" t="n">
        <x:v>3064</x:v>
      </x:c>
      <x:c r="F100" s="34" t="str">
        <x:v>tracked-clean</x:v>
      </x:c>
      <x:c r="G100" s="34" t="str">
        <x:v>tracked-clean</x:v>
      </x:c>
      <x:c r="H100" s="34" t="str">
        <x:v>candidate-requirement</x:v>
      </x:c>
      <x:c r="I100" s="34" t="str">
        <x:v>internal-derived-draft-functional-requirement-candidate</x:v>
      </x:c>
      <x:c r="J100" s="34" t="str">
        <x:v>unapproved-internal-derived-functional-requirement</x:v>
      </x:c>
      <x:c r="K100" s="34" t="str">
        <x:v>`draft`、无批准；内部纠错授权候选；AC-1∼2。</x:v>
      </x:c>
      <x:c r="L100" s="34" t="str">
        <x:v>[FR-005](../../../../requirement-documents/04-functional-requirements/01-site-operations/fr-005-mis-stored-retrieval-eligibility-check.md) `ba4726149cbd`；`ec→49`; 无 Origin；Related 指 UC-005/FR-006，为 LoadCorrection 重写</x:v>
      </x:c>
      <x:c r="M100" s="52" t="str">
        <x:v>not-found</x:v>
      </x:c>
      <x:c r="N100" s="52" t="str">
        <x:v>not-found</x:v>
      </x:c>
      <x:c r="O100" s="52" t="str">
        <x:v>not-found</x:v>
      </x:c>
      <x:c r="P100" s="52" t="str">
        <x:v>not-found</x:v>
      </x:c>
      <x:c r="Q100" s="55" t="str">
        <x:v>not-approved-by-this-classification</x:v>
      </x:c>
      <x:c r="R100" s="34" t="str">
        <x:v>candidate-only-after-acceptance-criterion-level-decomposition-evidence-review-and-explicit-approval</x:v>
      </x:c>
      <x:c r="S100" s="34" t="str">
        <x:v>`draft`、无批准；内部纠错授权候选；AC-1∼2。; detailed record: R04-functional-requirements.md matrix row 05</x:v>
      </x:c>
      <x:c r="T100" s="35" t="str">
        <x:v>R04-functional-requirements.md:29</x:v>
      </x:c>
    </x:row>
    <x:row r="101" ht="48" customHeight="1">
      <x:c r="A101" s="44" t="str">
        <x:v>R04-06</x:v>
      </x:c>
      <x:c r="B101" s="45" t="str">
        <x:v>R04</x:v>
      </x:c>
      <x:c r="C101" s="34" t="str">
        <x:v>requirement-documents/04-functional-requirements/01-site-operations/fr-006-multi-slot-unlock-retrieval-and-occupancy-rollback.md</x:v>
      </x:c>
      <x:c r="D101" s="49" t="str">
        <x:v>5114f3db3d3a745596fa6362a7790f21fbf5b4588517806002cec1f5eacef0a5</x:v>
      </x:c>
      <x:c r="E101" s="40" t="n">
        <x:v>3992</x:v>
      </x:c>
      <x:c r="F101" s="34" t="str">
        <x:v>tracked-clean</x:v>
      </x:c>
      <x:c r="G101" s="34" t="str">
        <x:v>tracked-clean</x:v>
      </x:c>
      <x:c r="H101" s="34" t="str">
        <x:v>candidate-requirement</x:v>
      </x:c>
      <x:c r="I101" s="34" t="str">
        <x:v>internal-derived-draft-functional-requirement-candidate</x:v>
      </x:c>
      <x:c r="J101" s="34" t="str">
        <x:v>unapproved-internal-derived-functional-requirement</x:v>
      </x:c>
      <x:c r="K101" s="34" t="str">
        <x:v>`draft`、无批准；AC-1∼6 分联锁、单仓、重放、Pending、出口、自动重开。</x:v>
      </x:c>
      <x:c r="L101" s="34" t="str">
        <x:v>[FR-006](../../../../requirement-documents/04-functional-requirements/01-site-operations/fr-006-multi-slot-unlock-retrieval-and-occupancy-rollback.md) `5114f3db3d3a`；`ec→49`; 无 Origin；UC-005/004/006 + FR-005/007/031，为原仓位纠错/待重放设计</x:v>
      </x:c>
      <x:c r="M101" s="52" t="str">
        <x:v>not-found</x:v>
      </x:c>
      <x:c r="N101" s="52" t="str">
        <x:v>not-found</x:v>
      </x:c>
      <x:c r="O101" s="52" t="str">
        <x:v>not-found</x:v>
      </x:c>
      <x:c r="P101" s="52" t="str">
        <x:v>not-found</x:v>
      </x:c>
      <x:c r="Q101" s="55" t="str">
        <x:v>not-approved-by-this-classification</x:v>
      </x:c>
      <x:c r="R101" s="34" t="str">
        <x:v>candidate-only-after-acceptance-criterion-level-decomposition-evidence-review-and-explicit-approval</x:v>
      </x:c>
      <x:c r="S101" s="34" t="str">
        <x:v>`draft`、无批准；AC-1∼6 分联锁、单仓、重放、Pending、出口、自动重开。; detailed record: R04-functional-requirements.md matrix row 06</x:v>
      </x:c>
      <x:c r="T101" s="35" t="str">
        <x:v>R04-functional-requirements.md:30</x:v>
      </x:c>
    </x:row>
    <x:row r="102" ht="48" customHeight="1">
      <x:c r="A102" s="44" t="str">
        <x:v>R04-07</x:v>
      </x:c>
      <x:c r="B102" s="45" t="str">
        <x:v>R04</x:v>
      </x:c>
      <x:c r="C102" s="34" t="str">
        <x:v>requirement-documents/04-functional-requirements/01-site-operations/fr-007-task-cancellation-eligibility-check-and-state-rollback.md</x:v>
      </x:c>
      <x:c r="D102" s="49" t="str">
        <x:v>a68a4c65a9e8cb31bb881b61ccb7b5b6165be1726a5910b00243aca2988fe7fc</x:v>
      </x:c>
      <x:c r="E102" s="40" t="n">
        <x:v>5702</x:v>
      </x:c>
      <x:c r="F102" s="34" t="str">
        <x:v>tracked-clean</x:v>
      </x:c>
      <x:c r="G102" s="34" t="str">
        <x:v>tracked-clean</x:v>
      </x:c>
      <x:c r="H102" s="34" t="str">
        <x:v>candidate-requirement</x:v>
      </x:c>
      <x:c r="I102" s="34" t="str">
        <x:v>internal-derived-draft-functional-requirement-candidate</x:v>
      </x:c>
      <x:c r="J102" s="34" t="str">
        <x:v>unapproved-internal-derived-functional-requirement</x:v>
      </x:c>
      <x:c r="K102" s="34" t="str">
        <x:v>`draft`、无批准；AC-1∼10 含任务终态、硬件闭环、多 SUBLOT 隔离与补偿权限，必须继续拆分。</x:v>
      </x:c>
      <x:c r="L102" s="34" t="str">
        <x:v>[FR-007](../../../../requirement-documents/04-functional-requirements/01-site-operations/fr-007-task-cancellation-eligibility-check-and-state-rollback.md) `a68a4c65a9e8`；`ec→49`; 无 Origin；UC-006 + FR-006，为离站前清空/取消重写</x:v>
      </x:c>
      <x:c r="M102" s="52" t="str">
        <x:v>not-found</x:v>
      </x:c>
      <x:c r="N102" s="52" t="str">
        <x:v>not-found</x:v>
      </x:c>
      <x:c r="O102" s="52" t="str">
        <x:v>not-found</x:v>
      </x:c>
      <x:c r="P102" s="52" t="str">
        <x:v>not-found</x:v>
      </x:c>
      <x:c r="Q102" s="55" t="str">
        <x:v>not-approved-by-this-classification</x:v>
      </x:c>
      <x:c r="R102" s="34" t="str">
        <x:v>candidate-only-after-acceptance-criterion-level-decomposition-evidence-review-and-explicit-approval</x:v>
      </x:c>
      <x:c r="S102" s="34" t="str">
        <x:v>`draft`、无批准；AC-1∼10 含任务终态、硬件闭环、多 SUBLOT 隔离与补偿权限，必须继续拆分。; detailed record: R04-functional-requirements.md matrix row 07</x:v>
      </x:c>
      <x:c r="T102" s="35" t="str">
        <x:v>R04-functional-requirements.md:31</x:v>
      </x:c>
    </x:row>
    <x:row r="103" ht="48" customHeight="1">
      <x:c r="A103" s="44" t="str">
        <x:v>R04-08</x:v>
      </x:c>
      <x:c r="B103" s="45" t="str">
        <x:v>R04</x:v>
      </x:c>
      <x:c r="C103" s="34" t="str">
        <x:v>requirement-documents/04-functional-requirements/01-site-operations/fr-008-destination-station-auto-identify-and-batch-unlock.md</x:v>
      </x:c>
      <x:c r="D103" s="49" t="str">
        <x:v>b6cd2f5524eb6a3544dbd07b079ab887b3b5386f0373ffc01eaa3534b1092d26</x:v>
      </x:c>
      <x:c r="E103" s="40" t="n">
        <x:v>5745</x:v>
      </x:c>
      <x:c r="F103" s="34" t="str">
        <x:v>tracked-clean</x:v>
      </x:c>
      <x:c r="G103" s="34" t="str">
        <x:v>tracked-clean</x:v>
      </x:c>
      <x:c r="H103" s="34" t="str">
        <x:v>candidate-requirement</x:v>
      </x:c>
      <x:c r="I103" s="34" t="str">
        <x:v>internal-derived-draft-functional-requirement-candidate</x:v>
      </x:c>
      <x:c r="J103" s="34" t="str">
        <x:v>unapproved-internal-derived-functional-requirement</x:v>
      </x:c>
      <x:c r="K103" s="34" t="str">
        <x:v>`draft`、无批准；卸货内部派生候选；AC-1∼6。</x:v>
      </x:c>
      <x:c r="L103" s="34" t="str">
        <x:v>[FR-008](../../../../requirement-documents/04-functional-requirements/01-site-operations/fr-008-destination-station-auto-identify-and-batch-unlock.md) `b6cd2f5524eb`；`ec→49`; Origin: UC-010/004 + BR-013/014</x:v>
      </x:c>
      <x:c r="M103" s="52" t="str">
        <x:v>not-found</x:v>
      </x:c>
      <x:c r="N103" s="52" t="str">
        <x:v>not-found</x:v>
      </x:c>
      <x:c r="O103" s="52" t="str">
        <x:v>not-found</x:v>
      </x:c>
      <x:c r="P103" s="52" t="str">
        <x:v>not-found</x:v>
      </x:c>
      <x:c r="Q103" s="55" t="str">
        <x:v>not-approved-by-this-classification</x:v>
      </x:c>
      <x:c r="R103" s="34" t="str">
        <x:v>candidate-only-after-acceptance-criterion-level-decomposition-evidence-review-and-explicit-approval</x:v>
      </x:c>
      <x:c r="S103" s="34" t="str">
        <x:v>`draft`、无批准；卸货内部派生候选；AC-1∼6。; detailed record: R04-functional-requirements.md matrix row 08</x:v>
      </x:c>
      <x:c r="T103" s="35" t="str">
        <x:v>R04-functional-requirements.md:32</x:v>
      </x:c>
    </x:row>
    <x:row r="104" ht="48" customHeight="1">
      <x:c r="A104" s="44" t="str">
        <x:v>R04-09</x:v>
      </x:c>
      <x:c r="B104" s="45" t="str">
        <x:v>R04</x:v>
      </x:c>
      <x:c r="C104" s="34" t="str">
        <x:v>requirement-documents/04-functional-requirements/01-site-operations/fr-009-post-close-light-curtain-confirm-occupancy-rollback-and-residue-escalation.md</x:v>
      </x:c>
      <x:c r="D104" s="49" t="str">
        <x:v>a84dc7ee55a0157159b6bd7caeaee2e45fdc39a82437e137858d5e35c94680c6</x:v>
      </x:c>
      <x:c r="E104" s="40" t="n">
        <x:v>3978</x:v>
      </x:c>
      <x:c r="F104" s="34" t="str">
        <x:v>tracked-clean</x:v>
      </x:c>
      <x:c r="G104" s="34" t="str">
        <x:v>tracked-clean</x:v>
      </x:c>
      <x:c r="H104" s="34" t="str">
        <x:v>candidate-requirement</x:v>
      </x:c>
      <x:c r="I104" s="34" t="str">
        <x:v>internal-derived-draft-functional-requirement-candidate</x:v>
      </x:c>
      <x:c r="J104" s="34" t="str">
        <x:v>unapproved-internal-derived-functional-requirement</x:v>
      </x:c>
      <x:c r="K104" s="34" t="str">
        <x:v>`draft`、无批准；卸货残留/回滚候选；AC-1∼2。</x:v>
      </x:c>
      <x:c r="L104" s="34" t="str">
        <x:v>[FR-009](../../../../requirement-documents/04-functional-requirements/01-site-operations/fr-009-post-close-light-curtain-confirm-occupancy-rollback-and-residue-escalation.md) `a84dc7ee55a0`；`ec→49`; Origin: UC-010 + BR-013；Related 另指 UC-044</x:v>
      </x:c>
      <x:c r="M104" s="52" t="str">
        <x:v>not-found</x:v>
      </x:c>
      <x:c r="N104" s="52" t="str">
        <x:v>not-found</x:v>
      </x:c>
      <x:c r="O104" s="52" t="str">
        <x:v>not-found</x:v>
      </x:c>
      <x:c r="P104" s="52" t="str">
        <x:v>not-found</x:v>
      </x:c>
      <x:c r="Q104" s="55" t="str">
        <x:v>not-approved-by-this-classification</x:v>
      </x:c>
      <x:c r="R104" s="34" t="str">
        <x:v>candidate-only-after-acceptance-criterion-level-decomposition-evidence-review-and-explicit-approval</x:v>
      </x:c>
      <x:c r="S104" s="34" t="str">
        <x:v>`draft`、无批准；卸货残留/回滚候选；AC-1∼2。; detailed record: R04-functional-requirements.md matrix row 09</x:v>
      </x:c>
      <x:c r="T104" s="35" t="str">
        <x:v>R04-functional-requirements.md:33</x:v>
      </x:c>
    </x:row>
    <x:row r="105" ht="48" customHeight="1">
      <x:c r="A105" s="44" t="str">
        <x:v>R04-10</x:v>
      </x:c>
      <x:c r="B105" s="45" t="str">
        <x:v>R04</x:v>
      </x:c>
      <x:c r="C105" s="34" t="str">
        <x:v>requirement-documents/04-functional-requirements/01-site-operations/fr-010-arrival-status-update-and-operation-panel-navigation.md</x:v>
      </x:c>
      <x:c r="D105" s="49" t="str">
        <x:v>701bbbcb942f24351544ca00c88f1ea4220d5c9d50b70117e41dd586c9e95fdd</x:v>
      </x:c>
      <x:c r="E105" s="40" t="n">
        <x:v>5547</x:v>
      </x:c>
      <x:c r="F105" s="34" t="str">
        <x:v>tracked-clean</x:v>
      </x:c>
      <x:c r="G105" s="34" t="str">
        <x:v>tracked-clean</x:v>
      </x:c>
      <x:c r="H105" s="34" t="str">
        <x:v>candidate-requirement</x:v>
      </x:c>
      <x:c r="I105" s="34" t="str">
        <x:v>internal-derived-draft-functional-requirement-candidate</x:v>
      </x:c>
      <x:c r="J105" s="34" t="str">
        <x:v>unapproved-internal-derived-functional-requirement</x:v>
      </x:c>
      <x:c r="K105" s="34" t="str">
        <x:v>`draft`、无批准；到站投影/HMI 内部派生；AC-1∼7。</x:v>
      </x:c>
      <x:c r="L105" s="34" t="str">
        <x:v>[FR-010](../../../../requirement-documents/04-functional-requirements/01-site-operations/fr-010-arrival-status-update-and-operation-panel-navigation.md) `701bbbcb942f`；`ec→49`; Origin: UC-003 + BR-001</x:v>
      </x:c>
      <x:c r="M105" s="52" t="str">
        <x:v>not-found</x:v>
      </x:c>
      <x:c r="N105" s="52" t="str">
        <x:v>not-found</x:v>
      </x:c>
      <x:c r="O105" s="52" t="str">
        <x:v>not-found</x:v>
      </x:c>
      <x:c r="P105" s="52" t="str">
        <x:v>not-found</x:v>
      </x:c>
      <x:c r="Q105" s="55" t="str">
        <x:v>not-approved-by-this-classification</x:v>
      </x:c>
      <x:c r="R105" s="34" t="str">
        <x:v>candidate-only-after-acceptance-criterion-level-decomposition-evidence-review-and-explicit-approval</x:v>
      </x:c>
      <x:c r="S105" s="34" t="str">
        <x:v>`draft`、无批准；到站投影/HMI 内部派生；AC-1∼7。; detailed record: R04-functional-requirements.md matrix row 10</x:v>
      </x:c>
      <x:c r="T105" s="35" t="str">
        <x:v>R04-functional-requirements.md:34</x:v>
      </x:c>
    </x:row>
    <x:row r="106" ht="48" customHeight="1">
      <x:c r="A106" s="44" t="str">
        <x:v>R04-11</x:v>
      </x:c>
      <x:c r="B106" s="45" t="str">
        <x:v>R04</x:v>
      </x:c>
      <x:c r="C106" s="34" t="str">
        <x:v>requirement-documents/04-functional-requirements/01-site-operations/fr-011-identity-and-role-verification-via-mes.md</x:v>
      </x:c>
      <x:c r="D106" s="49" t="str">
        <x:v>93dbc4bd552816bffb6791376eeac5707c50cd514a0343238c8b39da809d98fd</x:v>
      </x:c>
      <x:c r="E106" s="40" t="n">
        <x:v>2310</x:v>
      </x:c>
      <x:c r="F106" s="34" t="str">
        <x:v>tracked-clean</x:v>
      </x:c>
      <x:c r="G106" s="34" t="str">
        <x:v>tracked-clean</x:v>
      </x:c>
      <x:c r="H106" s="34" t="str">
        <x:v>candidate-requirement</x:v>
      </x:c>
      <x:c r="I106" s="34" t="str">
        <x:v>internal-derived-draft-functional-requirement-candidate</x:v>
      </x:c>
      <x:c r="J106" s="34" t="str">
        <x:v>unapproved-internal-derived-functional-requirement</x:v>
      </x:c>
      <x:c r="K106" s="34" t="str">
        <x:v>`draft`、无批准；项目级身份策略须特别追回具名业务/IT 批准；AC-1∼4。</x:v>
      </x:c>
      <x:c r="L106" s="34" t="str">
        <x:v>[FR-011](../../../../requirement-documents/04-functional-requirements/01-site-operations/fr-011-identity-and-role-verification-via-mes.md) `93dbc4bd5528`；`ec→49`; 无 Origin；Related 只指 UC-043，正文新增 8005 装货开/卸货关策略</x:v>
      </x:c>
      <x:c r="M106" s="52" t="str">
        <x:v>not-found</x:v>
      </x:c>
      <x:c r="N106" s="52" t="str">
        <x:v>not-found</x:v>
      </x:c>
      <x:c r="O106" s="52" t="str">
        <x:v>not-found</x:v>
      </x:c>
      <x:c r="P106" s="52" t="str">
        <x:v>not-found</x:v>
      </x:c>
      <x:c r="Q106" s="55" t="str">
        <x:v>not-approved-by-this-classification</x:v>
      </x:c>
      <x:c r="R106" s="34" t="str">
        <x:v>candidate-only-after-acceptance-criterion-level-decomposition-evidence-review-and-explicit-approval</x:v>
      </x:c>
      <x:c r="S106" s="34" t="str">
        <x:v>`draft`、无批准；项目级身份策略须特别追回具名业务/IT 批准；AC-1∼4。; detailed record: R04-functional-requirements.md matrix row 11</x:v>
      </x:c>
      <x:c r="T106" s="35" t="str">
        <x:v>R04-functional-requirements.md:35</x:v>
      </x:c>
    </x:row>
    <x:row r="107" ht="48" customHeight="1">
      <x:c r="A107" s="44" t="str">
        <x:v>R04-12</x:v>
      </x:c>
      <x:c r="B107" s="45" t="str">
        <x:v>R04</x:v>
      </x:c>
      <x:c r="C107" s="34" t="str">
        <x:v>requirement-documents/04-functional-requirements/01-site-operations/fr-012-session-establishment-reuse-and-lock-stage-transition.md</x:v>
      </x:c>
      <x:c r="D107" s="49" t="str">
        <x:v>56a57678899c18a1f51d4469950f21eced0a6c7881f9bff99bb14d43118770fe</x:v>
      </x:c>
      <x:c r="E107" s="40" t="n">
        <x:v>2881</x:v>
      </x:c>
      <x:c r="F107" s="34" t="str">
        <x:v>tracked-clean</x:v>
      </x:c>
      <x:c r="G107" s="34" t="str">
        <x:v>tracked-clean</x:v>
      </x:c>
      <x:c r="H107" s="34" t="str">
        <x:v>candidate-requirement</x:v>
      </x:c>
      <x:c r="I107" s="34" t="str">
        <x:v>internal-derived-draft-functional-requirement-candidate</x:v>
      </x:c>
      <x:c r="J107" s="34" t="str">
        <x:v>unapproved-internal-derived-functional-requirement</x:v>
      </x:c>
      <x:c r="K107" s="34" t="str">
        <x:v>`draft`、无批准；会话/绑定内部设计；AC-1∼5。</x:v>
      </x:c>
      <x:c r="L107" s="34" t="str">
        <x:v>[FR-012](../../../../requirement-documents/04-functional-requirements/01-site-operations/fr-012-session-establishment-reuse-and-lock-stage-transition.md) `56a57678899c`；`ec→49`; 无 Origin；UC-043/001/005/010/044，混合生产操作员与 R-09 独立审批身份</x:v>
      </x:c>
      <x:c r="M107" s="52" t="str">
        <x:v>not-found</x:v>
      </x:c>
      <x:c r="N107" s="52" t="str">
        <x:v>not-found</x:v>
      </x:c>
      <x:c r="O107" s="52" t="str">
        <x:v>not-found</x:v>
      </x:c>
      <x:c r="P107" s="52" t="str">
        <x:v>not-found</x:v>
      </x:c>
      <x:c r="Q107" s="55" t="str">
        <x:v>not-approved-by-this-classification</x:v>
      </x:c>
      <x:c r="R107" s="34" t="str">
        <x:v>candidate-only-after-acceptance-criterion-level-decomposition-evidence-review-and-explicit-approval</x:v>
      </x:c>
      <x:c r="S107" s="34" t="str">
        <x:v>`draft`、无批准；会话/绑定内部设计；AC-1∼5。; detailed record: R04-functional-requirements.md matrix row 12</x:v>
      </x:c>
      <x:c r="T107" s="35" t="str">
        <x:v>R04-functional-requirements.md:36</x:v>
      </x:c>
    </x:row>
    <x:row r="108" ht="48" customHeight="1">
      <x:c r="A108" s="44" t="str">
        <x:v>R04-13</x:v>
      </x:c>
      <x:c r="B108" s="45" t="str">
        <x:v>R04</x:v>
      </x:c>
      <x:c r="C108" s="34" t="str">
        <x:v>requirement-documents/04-functional-requirements/01-site-operations/fr-013-session-termination-rules.md</x:v>
      </x:c>
      <x:c r="D108" s="49" t="str">
        <x:v>e8fa72726ab29f2182884aa2777f9f2570984a49d2a71352e8a269a2a549ac1e</x:v>
      </x:c>
      <x:c r="E108" s="40" t="n">
        <x:v>2197</x:v>
      </x:c>
      <x:c r="F108" s="34" t="str">
        <x:v>tracked-clean</x:v>
      </x:c>
      <x:c r="G108" s="34" t="str">
        <x:v>tracked-clean</x:v>
      </x:c>
      <x:c r="H108" s="34" t="str">
        <x:v>candidate-requirement</x:v>
      </x:c>
      <x:c r="I108" s="34" t="str">
        <x:v>internal-derived-draft-functional-requirement-candidate</x:v>
      </x:c>
      <x:c r="J108" s="34" t="str">
        <x:v>unapproved-internal-derived-functional-requirement</x:v>
      </x:c>
      <x:c r="K108" s="34" t="str">
        <x:v>`draft`、无批准；会话结束/恢复内部设计；AC-1∼4。</x:v>
      </x:c>
      <x:c r="L108" s="34" t="str">
        <x:v>[FR-013](../../../../requirement-documents/04-functional-requirements/01-site-operations/fr-013-session-termination-rules.md) `e8fa72726ab2`；`ec→49`; 无 Origin；UC-043/002/006/046 + FR-004/011/012/031</x:v>
      </x:c>
      <x:c r="M108" s="52" t="str">
        <x:v>not-found</x:v>
      </x:c>
      <x:c r="N108" s="52" t="str">
        <x:v>not-found</x:v>
      </x:c>
      <x:c r="O108" s="52" t="str">
        <x:v>not-found</x:v>
      </x:c>
      <x:c r="P108" s="52" t="str">
        <x:v>not-found</x:v>
      </x:c>
      <x:c r="Q108" s="55" t="str">
        <x:v>not-approved-by-this-classification</x:v>
      </x:c>
      <x:c r="R108" s="34" t="str">
        <x:v>candidate-only-after-acceptance-criterion-level-decomposition-evidence-review-and-explicit-approval</x:v>
      </x:c>
      <x:c r="S108" s="34" t="str">
        <x:v>`draft`、无批准；会话结束/恢复内部设计；AC-1∼4。; detailed record: R04-functional-requirements.md matrix row 13</x:v>
      </x:c>
      <x:c r="T108" s="35" t="str">
        <x:v>R04-functional-requirements.md:37</x:v>
      </x:c>
    </x:row>
    <x:row r="109" ht="48" customHeight="1">
      <x:c r="A109" s="44" t="str">
        <x:v>R04-14</x:v>
      </x:c>
      <x:c r="B109" s="45" t="str">
        <x:v>R04</x:v>
      </x:c>
      <x:c r="C109" s="34" t="str">
        <x:v>requirement-documents/04-functional-requirements/01-site-operations/fr-014-slot-reopen-residue-clearance-confirm-and-state-restoration.md</x:v>
      </x:c>
      <x:c r="D109" s="49" t="str">
        <x:v>4fe50e146f6c328f331809f30da2b7a1a9d2bf163870180e02607b1a525325be</x:v>
      </x:c>
      <x:c r="E109" s="40" t="n">
        <x:v>4820</x:v>
      </x:c>
      <x:c r="F109" s="34" t="str">
        <x:v>tracked-clean</x:v>
      </x:c>
      <x:c r="G109" s="34" t="str">
        <x:v>tracked-clean</x:v>
      </x:c>
      <x:c r="H109" s="34" t="str">
        <x:v>candidate-requirement</x:v>
      </x:c>
      <x:c r="I109" s="34" t="str">
        <x:v>internal-derived-draft-functional-requirement-candidate</x:v>
      </x:c>
      <x:c r="J109" s="34" t="str">
        <x:v>unapproved-internal-derived-functional-requirement</x:v>
      </x:c>
      <x:c r="K109" s="34" t="str">
        <x:v>`draft`、无批准；残留仓位恢复候选；AC-1∼4。</x:v>
      </x:c>
      <x:c r="L109" s="34" t="str">
        <x:v>[FR-014](../../../../requirement-documents/04-functional-requirements/01-site-operations/fr-014-slot-reopen-residue-clearance-confirm-and-state-restoration.md) `4fe50e146f6c`；`ec→49`; Origin: UC-044 + UC-004；Related 另指 UC-010/002</x:v>
      </x:c>
      <x:c r="M109" s="52" t="str">
        <x:v>not-found</x:v>
      </x:c>
      <x:c r="N109" s="52" t="str">
        <x:v>not-found</x:v>
      </x:c>
      <x:c r="O109" s="52" t="str">
        <x:v>not-found</x:v>
      </x:c>
      <x:c r="P109" s="52" t="str">
        <x:v>not-found</x:v>
      </x:c>
      <x:c r="Q109" s="55" t="str">
        <x:v>not-approved-by-this-classification</x:v>
      </x:c>
      <x:c r="R109" s="34" t="str">
        <x:v>candidate-only-after-acceptance-criterion-level-decomposition-evidence-review-and-explicit-approval</x:v>
      </x:c>
      <x:c r="S109" s="34" t="str">
        <x:v>`draft`、无批准；残留仓位恢复候选；AC-1∼4。; detailed record: R04-functional-requirements.md matrix row 14</x:v>
      </x:c>
      <x:c r="T109" s="35" t="str">
        <x:v>R04-functional-requirements.md:38</x:v>
      </x:c>
    </x:row>
    <x:row r="110" ht="48" customHeight="1">
      <x:c r="A110" s="44" t="str">
        <x:v>R04-15</x:v>
      </x:c>
      <x:c r="B110" s="45" t="str">
        <x:v>R04</x:v>
      </x:c>
      <x:c r="C110" s="34" t="str">
        <x:v>requirement-documents/04-functional-requirements/01-site-operations/fr-031-station-departure-wait-timeout-and-auto-closure.md</x:v>
      </x:c>
      <x:c r="D110" s="49" t="str">
        <x:v>69484156ab84242115a54b2f7e46d0913578e3beaed7708f8227d3a5c6a80d42</x:v>
      </x:c>
      <x:c r="E110" s="40" t="n">
        <x:v>5816</x:v>
      </x:c>
      <x:c r="F110" s="34" t="str">
        <x:v>tracked-clean</x:v>
      </x:c>
      <x:c r="G110" s="34" t="str">
        <x:v>tracked-clean</x:v>
      </x:c>
      <x:c r="H110" s="34" t="str">
        <x:v>candidate-requirement</x:v>
      </x:c>
      <x:c r="I110" s="34" t="str">
        <x:v>internal-derived-draft-functional-requirement-candidate</x:v>
      </x:c>
      <x:c r="J110" s="34" t="str">
        <x:v>unapproved-internal-derived-functional-requirement</x:v>
      </x:c>
      <x:c r="K110" s="34" t="str">
        <x:v>`draft`、无批准；内部超时自动结束候选；AC-1∼12，默认 5 分钟及 HMI 阈值优先追原始决定。</x:v>
      </x:c>
      <x:c r="L110" s="34" t="str">
        <x:v>[FR-031](../../../../requirement-documents/04-functional-requirements/01-site-operations/fr-031-station-departure-wait-timeout-and-auto-closure.md) `69484156ab84`；`49`; Origin 自述 2026-07-30∼31 “需求确认会话” + UC-046 + ADR-0055；会话未导出/具名</x:v>
      </x:c>
      <x:c r="M110" s="52" t="str">
        <x:v>not-found</x:v>
      </x:c>
      <x:c r="N110" s="52" t="str">
        <x:v>not-found</x:v>
      </x:c>
      <x:c r="O110" s="52" t="str">
        <x:v>not-found</x:v>
      </x:c>
      <x:c r="P110" s="52" t="str">
        <x:v>not-found</x:v>
      </x:c>
      <x:c r="Q110" s="55" t="str">
        <x:v>not-approved-by-this-classification</x:v>
      </x:c>
      <x:c r="R110" s="34" t="str">
        <x:v>candidate-only-after-acceptance-criterion-level-decomposition-evidence-review-and-explicit-approval</x:v>
      </x:c>
      <x:c r="S110" s="34" t="str">
        <x:v>`draft`、无批准；内部超时自动结束候选；AC-1∼12，默认 5 分钟及 HMI 阈值优先追原始决定。; detailed record: R04-functional-requirements.md matrix row 15</x:v>
      </x:c>
      <x:c r="T110" s="35" t="str">
        <x:v>R04-functional-requirements.md:39</x:v>
      </x:c>
    </x:row>
    <x:row r="111" ht="48" customHeight="1">
      <x:c r="A111" s="44" t="str">
        <x:v>R04-16</x:v>
      </x:c>
      <x:c r="B111" s="45" t="str">
        <x:v>R04</x:v>
      </x:c>
      <x:c r="C111" s="34" t="str">
        <x:v>requirement-documents/04-functional-requirements/02-slot-and-hardware/fr-015-slot-monitoring-dashboard-display-and-refresh.md</x:v>
      </x:c>
      <x:c r="D111" s="49" t="str">
        <x:v>fd47600ad362f0a0a38bb35708d82fac440cbe40bfc9c5cdff7068c971a0e31c</x:v>
      </x:c>
      <x:c r="E111" s="40" t="n">
        <x:v>4195</x:v>
      </x:c>
      <x:c r="F111" s="34" t="str">
        <x:v>tracked-clean</x:v>
      </x:c>
      <x:c r="G111" s="34" t="str">
        <x:v>tracked-clean</x:v>
      </x:c>
      <x:c r="H111" s="34" t="str">
        <x:v>candidate-requirement</x:v>
      </x:c>
      <x:c r="I111" s="34" t="str">
        <x:v>internal-derived-draft-functional-requirement-candidate</x:v>
      </x:c>
      <x:c r="J111" s="34" t="str">
        <x:v>unapproved-internal-derived-functional-requirement</x:v>
      </x:c>
      <x:c r="K111" s="34" t="str">
        <x:v>`draft`、无批准；硬件看板内部派生；AC-1∼2。</x:v>
      </x:c>
      <x:c r="L111" s="34" t="str">
        <x:v>[FR-015](../../../../requirement-documents/04-functional-requirements/02-slot-and-hardware/fr-015-slot-monitoring-dashboard-display-and-refresh.md) `fd47600ad362`；`ec`; Origin: UC-011</x:v>
      </x:c>
      <x:c r="M111" s="52" t="str">
        <x:v>not-found</x:v>
      </x:c>
      <x:c r="N111" s="52" t="str">
        <x:v>not-found</x:v>
      </x:c>
      <x:c r="O111" s="52" t="str">
        <x:v>not-found</x:v>
      </x:c>
      <x:c r="P111" s="52" t="str">
        <x:v>not-found</x:v>
      </x:c>
      <x:c r="Q111" s="55" t="str">
        <x:v>not-approved-by-this-classification</x:v>
      </x:c>
      <x:c r="R111" s="34" t="str">
        <x:v>candidate-only-after-acceptance-criterion-level-decomposition-evidence-review-and-explicit-approval</x:v>
      </x:c>
      <x:c r="S111" s="34" t="str">
        <x:v>`draft`、无批准；硬件看板内部派生；AC-1∼2。; detailed record: R04-functional-requirements.md matrix row 16</x:v>
      </x:c>
      <x:c r="T111" s="35" t="str">
        <x:v>R04-functional-requirements.md:40</x:v>
      </x:c>
    </x:row>
    <x:row r="112" ht="48" customHeight="1">
      <x:c r="A112" s="44" t="str">
        <x:v>R04-17</x:v>
      </x:c>
      <x:c r="B112" s="45" t="str">
        <x:v>R04</x:v>
      </x:c>
      <x:c r="C112" s="34" t="str">
        <x:v>requirement-documents/04-functional-requirements/02-slot-and-hardware/fr-016-slot-enable-disable-batch-eligibility-and-state-update.md</x:v>
      </x:c>
      <x:c r="D112" s="49" t="str">
        <x:v>bd9df8d49efd21941ec36aade3976ca4a0e1ff58eb64cf2626a3796b8ca35920</x:v>
      </x:c>
      <x:c r="E112" s="40" t="n">
        <x:v>2140</x:v>
      </x:c>
      <x:c r="F112" s="34" t="str">
        <x:v>tracked-clean</x:v>
      </x:c>
      <x:c r="G112" s="34" t="str">
        <x:v>tracked-clean</x:v>
      </x:c>
      <x:c r="H112" s="34" t="str">
        <x:v>candidate-requirement</x:v>
      </x:c>
      <x:c r="I112" s="34" t="str">
        <x:v>internal-derived-draft-functional-requirement-candidate</x:v>
      </x:c>
      <x:c r="J112" s="34" t="str">
        <x:v>unapproved-internal-derived-functional-requirement</x:v>
      </x:c>
      <x:c r="K112" s="34" t="str">
        <x:v>`draft`、无批准；内部状态模型；AC-1∼4，将立即/待生效/硬件故障/批量结果拆开。</x:v>
      </x:c>
      <x:c r="L112" s="34" t="str">
        <x:v>[FR-016](../../../../requirement-documents/04-functional-requirements/02-slot-and-hardware/fr-016-slot-enable-disable-batch-eligibility-and-state-update.md) `bd9df8d49efd`；`ec→49`; 无 Origin；Related 只指 UC-014，后期改写为管理状态 + 车载可操作性</x:v>
      </x:c>
      <x:c r="M112" s="52" t="str">
        <x:v>not-found</x:v>
      </x:c>
      <x:c r="N112" s="52" t="str">
        <x:v>not-found</x:v>
      </x:c>
      <x:c r="O112" s="52" t="str">
        <x:v>not-found</x:v>
      </x:c>
      <x:c r="P112" s="52" t="str">
        <x:v>not-found</x:v>
      </x:c>
      <x:c r="Q112" s="55" t="str">
        <x:v>not-approved-by-this-classification</x:v>
      </x:c>
      <x:c r="R112" s="34" t="str">
        <x:v>candidate-only-after-acceptance-criterion-level-decomposition-evidence-review-and-explicit-approval</x:v>
      </x:c>
      <x:c r="S112" s="34" t="str">
        <x:v>`draft`、无批准；内部状态模型；AC-1∼4，将立即/待生效/硬件故障/批量结果拆开。; detailed record: R04-functional-requirements.md matrix row 17</x:v>
      </x:c>
      <x:c r="T112" s="35" t="str">
        <x:v>R04-functional-requirements.md:41</x:v>
      </x:c>
    </x:row>
    <x:row r="113" ht="48" customHeight="1">
      <x:c r="A113" s="44" t="str">
        <x:v>R04-18</x:v>
      </x:c>
      <x:c r="B113" s="45" t="str">
        <x:v>R04</x:v>
      </x:c>
      <x:c r="C113" s="34" t="str">
        <x:v>requirement-documents/04-functional-requirements/02-slot-and-hardware/fr-017-slot-door-unlock-open-test-and-result-recording.md</x:v>
      </x:c>
      <x:c r="D113" s="49" t="str">
        <x:v>a6ffae552466f49ae92583be9fe9518470feeebdff50f6289c549c140c85e5d6</x:v>
      </x:c>
      <x:c r="E113" s="40" t="n">
        <x:v>3808</x:v>
      </x:c>
      <x:c r="F113" s="34" t="str">
        <x:v>tracked-clean</x:v>
      </x:c>
      <x:c r="G113" s="34" t="str">
        <x:v>tracked-clean</x:v>
      </x:c>
      <x:c r="H113" s="34" t="str">
        <x:v>candidate-requirement</x:v>
      </x:c>
      <x:c r="I113" s="34" t="str">
        <x:v>internal-derived-draft-functional-requirement-candidate</x:v>
      </x:c>
      <x:c r="J113" s="34" t="str">
        <x:v>unapproved-internal-derived-functional-requirement</x:v>
      </x:c>
      <x:c r="K113" s="34" t="str">
        <x:v>`draft`、无批准；硬件测试能力候选；AC-1∼3。</x:v>
      </x:c>
      <x:c r="L113" s="34" t="str">
        <x:v>[FR-017](../../../../requirement-documents/04-functional-requirements/02-slot-and-hardware/fr-017-slot-door-unlock-open-test-and-result-recording.md) `a6ffae552466`；`ec→49`; Origin: UC-015</x:v>
      </x:c>
      <x:c r="M113" s="52" t="str">
        <x:v>not-found</x:v>
      </x:c>
      <x:c r="N113" s="52" t="str">
        <x:v>not-found</x:v>
      </x:c>
      <x:c r="O113" s="52" t="str">
        <x:v>not-found</x:v>
      </x:c>
      <x:c r="P113" s="52" t="str">
        <x:v>not-found</x:v>
      </x:c>
      <x:c r="Q113" s="55" t="str">
        <x:v>not-approved-by-this-classification</x:v>
      </x:c>
      <x:c r="R113" s="34" t="str">
        <x:v>candidate-only-after-acceptance-criterion-level-decomposition-evidence-review-and-explicit-approval</x:v>
      </x:c>
      <x:c r="S113" s="34" t="str">
        <x:v>`draft`、无批准；硬件测试能力候选；AC-1∼3。; detailed record: R04-functional-requirements.md matrix row 18</x:v>
      </x:c>
      <x:c r="T113" s="35" t="str">
        <x:v>R04-functional-requirements.md:42</x:v>
      </x:c>
    </x:row>
    <x:row r="114" ht="48" customHeight="1">
      <x:c r="A114" s="44" t="str">
        <x:v>R04-19</x:v>
      </x:c>
      <x:c r="B114" s="45" t="str">
        <x:v>R04</x:v>
      </x:c>
      <x:c r="C114" s="34" t="str">
        <x:v>requirement-documents/04-functional-requirements/02-slot-and-hardware/fr-018-slot-light-curtain-function-test.md</x:v>
      </x:c>
      <x:c r="D114" s="49" t="str">
        <x:v>999d4ea4a140976fd89c60c053fae7886419ee061f1dcb043d67ae735033a550</x:v>
      </x:c>
      <x:c r="E114" s="40" t="n">
        <x:v>4672</x:v>
      </x:c>
      <x:c r="F114" s="34" t="str">
        <x:v>tracked-clean</x:v>
      </x:c>
      <x:c r="G114" s="34" t="str">
        <x:v>tracked-clean</x:v>
      </x:c>
      <x:c r="H114" s="34" t="str">
        <x:v>candidate-requirement</x:v>
      </x:c>
      <x:c r="I114" s="34" t="str">
        <x:v>internal-derived-draft-functional-requirement-candidate</x:v>
      </x:c>
      <x:c r="J114" s="34" t="str">
        <x:v>unapproved-internal-derived-functional-requirement</x:v>
      </x:c>
      <x:c r="K114" s="34" t="str">
        <x:v>`draft`、无批准；光幕测试能力候选；AC-1∼4。</x:v>
      </x:c>
      <x:c r="L114" s="34" t="str">
        <x:v>[FR-018](../../../../requirement-documents/04-functional-requirements/02-slot-and-hardware/fr-018-slot-light-curtain-function-test.md) `999d4ea4a140`；`ec`; Origin: UC-016</x:v>
      </x:c>
      <x:c r="M114" s="52" t="str">
        <x:v>not-found</x:v>
      </x:c>
      <x:c r="N114" s="52" t="str">
        <x:v>not-found</x:v>
      </x:c>
      <x:c r="O114" s="52" t="str">
        <x:v>not-found</x:v>
      </x:c>
      <x:c r="P114" s="52" t="str">
        <x:v>not-found</x:v>
      </x:c>
      <x:c r="Q114" s="55" t="str">
        <x:v>not-approved-by-this-classification</x:v>
      </x:c>
      <x:c r="R114" s="34" t="str">
        <x:v>candidate-only-after-acceptance-criterion-level-decomposition-evidence-review-and-explicit-approval</x:v>
      </x:c>
      <x:c r="S114" s="34" t="str">
        <x:v>`draft`、无批准；光幕测试能力候选；AC-1∼4。; detailed record: R04-functional-requirements.md matrix row 19</x:v>
      </x:c>
      <x:c r="T114" s="35" t="str">
        <x:v>R04-functional-requirements.md:43</x:v>
      </x:c>
    </x:row>
    <x:row r="115" ht="48" customHeight="1">
      <x:c r="A115" s="44" t="str">
        <x:v>R04-20</x:v>
      </x:c>
      <x:c r="B115" s="45" t="str">
        <x:v>R04</x:v>
      </x:c>
      <x:c r="C115" s="34" t="str">
        <x:v>requirement-documents/04-functional-requirements/02-slot-and-hardware/fr-019-slot-door-state-detection-test.md</x:v>
      </x:c>
      <x:c r="D115" s="49" t="str">
        <x:v>1d38c8eb256111e8166e953b5ab77de1b8ef3b28f4ff0e6f8cc1fbc80698abe4</x:v>
      </x:c>
      <x:c r="E115" s="40" t="n">
        <x:v>2733</x:v>
      </x:c>
      <x:c r="F115" s="34" t="str">
        <x:v>tracked-clean</x:v>
      </x:c>
      <x:c r="G115" s="34" t="str">
        <x:v>tracked-clean</x:v>
      </x:c>
      <x:c r="H115" s="34" t="str">
        <x:v>candidate-requirement</x:v>
      </x:c>
      <x:c r="I115" s="34" t="str">
        <x:v>internal-derived-draft-functional-requirement-candidate</x:v>
      </x:c>
      <x:c r="J115" s="34" t="str">
        <x:v>unapproved-internal-derived-functional-requirement</x:v>
      </x:c>
      <x:c r="K115" s="34" t="str">
        <x:v>`draft`、无批准；锁反馈/闩合测试候选；AC-1∼4；不用测试通过反推需求正确。</x:v>
      </x:c>
      <x:c r="L115" s="34" t="str">
        <x:v>[FR-019](../../../../requirement-documents/04-functional-requirements/02-slot-and-hardware/fr-019-slot-door-state-detection-test.md) `1d38c8eb2561`；`ec→49`; Origin: UC-017</x:v>
      </x:c>
      <x:c r="M115" s="52" t="str">
        <x:v>not-found</x:v>
      </x:c>
      <x:c r="N115" s="52" t="str">
        <x:v>not-found</x:v>
      </x:c>
      <x:c r="O115" s="52" t="str">
        <x:v>not-found</x:v>
      </x:c>
      <x:c r="P115" s="52" t="str">
        <x:v>not-found</x:v>
      </x:c>
      <x:c r="Q115" s="55" t="str">
        <x:v>not-approved-by-this-classification</x:v>
      </x:c>
      <x:c r="R115" s="34" t="str">
        <x:v>candidate-only-after-acceptance-criterion-level-decomposition-evidence-review-and-explicit-approval</x:v>
      </x:c>
      <x:c r="S115" s="34" t="str">
        <x:v>`draft`、无批准；锁反馈/闩合测试候选；AC-1∼4；不用测试通过反推需求正确。; detailed record: R04-functional-requirements.md matrix row 20</x:v>
      </x:c>
      <x:c r="T115" s="35" t="str">
        <x:v>R04-functional-requirements.md:44</x:v>
      </x:c>
    </x:row>
    <x:row r="116" ht="48" customHeight="1">
      <x:c r="A116" s="44" t="str">
        <x:v>R04-21</x:v>
      </x:c>
      <x:c r="B116" s="45" t="str">
        <x:v>R04</x:v>
      </x:c>
      <x:c r="C116" s="34" t="str">
        <x:v>requirement-documents/04-functional-requirements/02-slot-and-hardware/fr-020-bidirectional-io-point-mapping-verification.md</x:v>
      </x:c>
      <x:c r="D116" s="49" t="str">
        <x:v>54c87508a16002a3a19923056dce04d5850dcff024560c4ecf7fdb01e79bdeef</x:v>
      </x:c>
      <x:c r="E116" s="40" t="n">
        <x:v>4784</x:v>
      </x:c>
      <x:c r="F116" s="34" t="str">
        <x:v>tracked-clean</x:v>
      </x:c>
      <x:c r="G116" s="34" t="str">
        <x:v>tracked-clean</x:v>
      </x:c>
      <x:c r="H116" s="34" t="str">
        <x:v>candidate-requirement</x:v>
      </x:c>
      <x:c r="I116" s="34" t="str">
        <x:v>internal-derived-draft-functional-requirement-candidate</x:v>
      </x:c>
      <x:c r="J116" s="34" t="str">
        <x:v>unapproved-internal-derived-functional-requirement</x:v>
      </x:c>
      <x:c r="K116" s="34" t="str">
        <x:v>`draft`、无批准；IO 点位核对能力候选；AC-1∼3。</x:v>
      </x:c>
      <x:c r="L116" s="34" t="str">
        <x:v>[FR-020](../../../../requirement-documents/04-functional-requirements/02-slot-and-hardware/fr-020-bidirectional-io-point-mapping-verification.md) `54c87508a160`；`ec`; Origin: UC-018</x:v>
      </x:c>
      <x:c r="M116" s="52" t="str">
        <x:v>not-found</x:v>
      </x:c>
      <x:c r="N116" s="52" t="str">
        <x:v>not-found</x:v>
      </x:c>
      <x:c r="O116" s="52" t="str">
        <x:v>not-found</x:v>
      </x:c>
      <x:c r="P116" s="52" t="str">
        <x:v>not-found</x:v>
      </x:c>
      <x:c r="Q116" s="55" t="str">
        <x:v>not-approved-by-this-classification</x:v>
      </x:c>
      <x:c r="R116" s="34" t="str">
        <x:v>candidate-only-after-acceptance-criterion-level-decomposition-evidence-review-and-explicit-approval</x:v>
      </x:c>
      <x:c r="S116" s="34" t="str">
        <x:v>`draft`、无批准；IO 点位核对能力候选；AC-1∼3。; detailed record: R04-functional-requirements.md matrix row 21</x:v>
      </x:c>
      <x:c r="T116" s="35" t="str">
        <x:v>R04-functional-requirements.md:45</x:v>
      </x:c>
    </x:row>
    <x:row r="117" ht="48" customHeight="1">
      <x:c r="A117" s="44" t="str">
        <x:v>R04-22</x:v>
      </x:c>
      <x:c r="B117" s="45" t="str">
        <x:v>R04</x:v>
      </x:c>
      <x:c r="C117" s="34" t="str">
        <x:v>requirement-documents/04-functional-requirements/02-slot-and-hardware/fr-021-slot-to-io-point-mapping-create-modify-validation.md</x:v>
      </x:c>
      <x:c r="D117" s="49" t="str">
        <x:v>5f2b14ff9d542a3bbf6b46154405490a795ca237c39a651eef4fa36b9eb8b3e9</x:v>
      </x:c>
      <x:c r="E117" s="40" t="n">
        <x:v>4402</x:v>
      </x:c>
      <x:c r="F117" s="34" t="str">
        <x:v>tracked-clean</x:v>
      </x:c>
      <x:c r="G117" s="34" t="str">
        <x:v>tracked-clean</x:v>
      </x:c>
      <x:c r="H117" s="34" t="str">
        <x:v>candidate-requirement</x:v>
      </x:c>
      <x:c r="I117" s="34" t="str">
        <x:v>internal-derived-draft-functional-requirement-candidate</x:v>
      </x:c>
      <x:c r="J117" s="34" t="str">
        <x:v>unapproved-internal-derived-functional-requirement</x:v>
      </x:c>
      <x:c r="K117" s="34" t="str">
        <x:v>`draft`、无批准；映射维护能力候选；AC-1∼3。</x:v>
      </x:c>
      <x:c r="L117" s="34" t="str">
        <x:v>[FR-021](../../../../requirement-documents/04-functional-requirements/02-slot-and-hardware/fr-021-slot-to-io-point-mapping-create-modify-validation.md) `5f2b14ff9d54`；`ec→49`; Origin: UC-039；下游依赖 FR-020</x:v>
      </x:c>
      <x:c r="M117" s="52" t="str">
        <x:v>not-found</x:v>
      </x:c>
      <x:c r="N117" s="52" t="str">
        <x:v>not-found</x:v>
      </x:c>
      <x:c r="O117" s="52" t="str">
        <x:v>not-found</x:v>
      </x:c>
      <x:c r="P117" s="52" t="str">
        <x:v>not-found</x:v>
      </x:c>
      <x:c r="Q117" s="55" t="str">
        <x:v>not-approved-by-this-classification</x:v>
      </x:c>
      <x:c r="R117" s="34" t="str">
        <x:v>candidate-only-after-acceptance-criterion-level-decomposition-evidence-review-and-explicit-approval</x:v>
      </x:c>
      <x:c r="S117" s="34" t="str">
        <x:v>`draft`、无批准；映射维护能力候选；AC-1∼3。; detailed record: R04-functional-requirements.md matrix row 22</x:v>
      </x:c>
      <x:c r="T117" s="35" t="str">
        <x:v>R04-functional-requirements.md:46</x:v>
      </x:c>
    </x:row>
    <x:row r="118" ht="48" customHeight="1">
      <x:c r="A118" s="44" t="str">
        <x:v>R04-23</x:v>
      </x:c>
      <x:c r="B118" s="45" t="str">
        <x:v>R04</x:v>
      </x:c>
      <x:c r="C118" s="34" t="str">
        <x:v>requirement-documents/04-functional-requirements/03-agv-fleet-management/fr-022-slot-model-draft-field-and-layout-validation.md</x:v>
      </x:c>
      <x:c r="D118" s="49" t="str">
        <x:v>b9f233de0603765501c2d55359914174816b7b933f53e6fbfe85ec3304d5d3e2</x:v>
      </x:c>
      <x:c r="E118" s="40" t="n">
        <x:v>6318</x:v>
      </x:c>
      <x:c r="F118" s="34" t="str">
        <x:v>tracked-clean</x:v>
      </x:c>
      <x:c r="G118" s="34" t="str">
        <x:v>tracked-clean</x:v>
      </x:c>
      <x:c r="H118" s="34" t="str">
        <x:v>candidate-requirement</x:v>
      </x:c>
      <x:c r="I118" s="34" t="str">
        <x:v>internal-derived-draft-functional-requirement-candidate</x:v>
      </x:c>
      <x:c r="J118" s="34" t="str">
        <x:v>unapproved-internal-derived-functional-requirement</x:v>
      </x:c>
      <x:c r="K118" s="34" t="str">
        <x:v>`draft`、无批准；车队模型草稿校验候选；AC-1∼5。</x:v>
      </x:c>
      <x:c r="L118" s="34" t="str">
        <x:v>[FR-022](../../../../requirement-documents/04-functional-requirements/03-agv-fleet-management/fr-022-slot-model-draft-field-and-layout-validation.md) `b9f233de0603`；`ec`; Origin: UC-038 + BR-008</x:v>
      </x:c>
      <x:c r="M118" s="52" t="str">
        <x:v>not-found</x:v>
      </x:c>
      <x:c r="N118" s="52" t="str">
        <x:v>not-found</x:v>
      </x:c>
      <x:c r="O118" s="52" t="str">
        <x:v>not-found</x:v>
      </x:c>
      <x:c r="P118" s="52" t="str">
        <x:v>not-found</x:v>
      </x:c>
      <x:c r="Q118" s="55" t="str">
        <x:v>not-approved-by-this-classification</x:v>
      </x:c>
      <x:c r="R118" s="34" t="str">
        <x:v>candidate-only-after-acceptance-criterion-level-decomposition-evidence-review-and-explicit-approval</x:v>
      </x:c>
      <x:c r="S118" s="34" t="str">
        <x:v>`draft`、无批准；车队模型草稿校验候选；AC-1∼5。; detailed record: R04-functional-requirements.md matrix row 23</x:v>
      </x:c>
      <x:c r="T118" s="35" t="str">
        <x:v>R04-functional-requirements.md:47</x:v>
      </x:c>
    </x:row>
    <x:row r="119" ht="48" customHeight="1">
      <x:c r="A119" s="44" t="str">
        <x:v>R04-24</x:v>
      </x:c>
      <x:c r="B119" s="45" t="str">
        <x:v>R04</x:v>
      </x:c>
      <x:c r="C119" s="34" t="str">
        <x:v>requirement-documents/04-functional-requirements/03-agv-fleet-management/fr-023-slot-model-publish-with-dual-authentication-and-immutable-versioning.md</x:v>
      </x:c>
      <x:c r="D119" s="49" t="str">
        <x:v>eb69554a831bab8fcff784afbecb7e59b5ce068dbcc6deda3accaa471c530967</x:v>
      </x:c>
      <x:c r="E119" s="40" t="n">
        <x:v>5906</x:v>
      </x:c>
      <x:c r="F119" s="34" t="str">
        <x:v>tracked-clean</x:v>
      </x:c>
      <x:c r="G119" s="34" t="str">
        <x:v>tracked-clean</x:v>
      </x:c>
      <x:c r="H119" s="34" t="str">
        <x:v>candidate-requirement</x:v>
      </x:c>
      <x:c r="I119" s="34" t="str">
        <x:v>internal-derived-draft-functional-requirement-candidate</x:v>
      </x:c>
      <x:c r="J119" s="34" t="str">
        <x:v>unapproved-internal-derived-functional-requirement</x:v>
      </x:c>
      <x:c r="K119" s="34" t="str">
        <x:v>`draft`、无批准；发布/二次认证/不可变版本候选；AC-1∼4。</x:v>
      </x:c>
      <x:c r="L119" s="34" t="str">
        <x:v>[FR-023](../../../../requirement-documents/04-functional-requirements/03-agv-fleet-management/fr-023-slot-model-publish-with-dual-authentication-and-immutable-versioning.md) `eb69554a831b`；`ec`; Origin: UC-038 + BR-008</x:v>
      </x:c>
      <x:c r="M119" s="52" t="str">
        <x:v>not-found</x:v>
      </x:c>
      <x:c r="N119" s="52" t="str">
        <x:v>not-found</x:v>
      </x:c>
      <x:c r="O119" s="52" t="str">
        <x:v>not-found</x:v>
      </x:c>
      <x:c r="P119" s="52" t="str">
        <x:v>not-found</x:v>
      </x:c>
      <x:c r="Q119" s="55" t="str">
        <x:v>not-approved-by-this-classification</x:v>
      </x:c>
      <x:c r="R119" s="34" t="str">
        <x:v>candidate-only-after-acceptance-criterion-level-decomposition-evidence-review-and-explicit-approval</x:v>
      </x:c>
      <x:c r="S119" s="34" t="str">
        <x:v>`draft`、无批准；发布/二次认证/不可变版本候选；AC-1∼4。; detailed record: R04-functional-requirements.md matrix row 24</x:v>
      </x:c>
      <x:c r="T119" s="35" t="str">
        <x:v>R04-functional-requirements.md:48</x:v>
      </x:c>
    </x:row>
    <x:row r="120" ht="48" customHeight="1">
      <x:c r="A120" s="44" t="str">
        <x:v>R04-25</x:v>
      </x:c>
      <x:c r="B120" s="45" t="str">
        <x:v>R04</x:v>
      </x:c>
      <x:c r="C120" s="34" t="str">
        <x:v>requirement-documents/04-functional-requirements/03-agv-fleet-management/fr-024-slot-model-retire-with-dual-authentication-and-historical-reference-preservation.md</x:v>
      </x:c>
      <x:c r="D120" s="49" t="str">
        <x:v>3636ffb7e73c900a54c6046fb0c5d9253c6107bebf5ca306b693d60b7357ecbe</x:v>
      </x:c>
      <x:c r="E120" s="40" t="n">
        <x:v>4497</x:v>
      </x:c>
      <x:c r="F120" s="34" t="str">
        <x:v>tracked-clean</x:v>
      </x:c>
      <x:c r="G120" s="34" t="str">
        <x:v>tracked-clean</x:v>
      </x:c>
      <x:c r="H120" s="34" t="str">
        <x:v>candidate-requirement</x:v>
      </x:c>
      <x:c r="I120" s="34" t="str">
        <x:v>internal-derived-draft-functional-requirement-candidate</x:v>
      </x:c>
      <x:c r="J120" s="34" t="str">
        <x:v>unapproved-internal-derived-functional-requirement</x:v>
      </x:c>
      <x:c r="K120" s="34" t="str">
        <x:v>`draft`、无批准；停用/历史引用保留候选；AC-1∼3。</x:v>
      </x:c>
      <x:c r="L120" s="34" t="str">
        <x:v>[FR-024](../../../../requirement-documents/04-functional-requirements/03-agv-fleet-management/fr-024-slot-model-retire-with-dual-authentication-and-historical-reference-preservation.md) `3636ffb7e73c`；`ec`; Origin: UC-038 + BR-008</x:v>
      </x:c>
      <x:c r="M120" s="52" t="str">
        <x:v>not-found</x:v>
      </x:c>
      <x:c r="N120" s="52" t="str">
        <x:v>not-found</x:v>
      </x:c>
      <x:c r="O120" s="52" t="str">
        <x:v>not-found</x:v>
      </x:c>
      <x:c r="P120" s="52" t="str">
        <x:v>not-found</x:v>
      </x:c>
      <x:c r="Q120" s="55" t="str">
        <x:v>not-approved-by-this-classification</x:v>
      </x:c>
      <x:c r="R120" s="34" t="str">
        <x:v>candidate-only-after-acceptance-criterion-level-decomposition-evidence-review-and-explicit-approval</x:v>
      </x:c>
      <x:c r="S120" s="34" t="str">
        <x:v>`draft`、无批准；停用/历史引用保留候选；AC-1∼3。; detailed record: R04-functional-requirements.md matrix row 25</x:v>
      </x:c>
      <x:c r="T120" s="35" t="str">
        <x:v>R04-functional-requirements.md:49</x:v>
      </x:c>
    </x:row>
    <x:row r="121" ht="48" customHeight="1">
      <x:c r="A121" s="44" t="str">
        <x:v>R04-26</x:v>
      </x:c>
      <x:c r="B121" s="45" t="str">
        <x:v>R04</x:v>
      </x:c>
      <x:c r="C121" s="34" t="str">
        <x:v>requirement-documents/04-functional-requirements/03-agv-fleet-management/fr-025-agv-registration-eligibility-and-slot-model-version-validation.md</x:v>
      </x:c>
      <x:c r="D121" s="49" t="str">
        <x:v>a367b18735381c1357f84aee4e68db20c80a8f5f87e50389d0ba2206785d099f</x:v>
      </x:c>
      <x:c r="E121" s="40" t="n">
        <x:v>5179</x:v>
      </x:c>
      <x:c r="F121" s="34" t="str">
        <x:v>tracked-clean</x:v>
      </x:c>
      <x:c r="G121" s="34" t="str">
        <x:v>tracked-clean</x:v>
      </x:c>
      <x:c r="H121" s="34" t="str">
        <x:v>candidate-requirement</x:v>
      </x:c>
      <x:c r="I121" s="34" t="str">
        <x:v>internal-derived-draft-functional-requirement-candidate</x:v>
      </x:c>
      <x:c r="J121" s="34" t="str">
        <x:v>unapproved-internal-derived-functional-requirement</x:v>
      </x:c>
      <x:c r="K121" s="34" t="str">
        <x:v>`draft`、无批准；AGV 接入资格/模型版本候选；AC-1∼4。</x:v>
      </x:c>
      <x:c r="L121" s="34" t="str">
        <x:v>[FR-025](../../../../requirement-documents/04-functional-requirements/03-agv-fleet-management/fr-025-agv-registration-eligibility-and-slot-model-version-validation.md) `a367b1873538`；`ec`; Origin: UC-019；Related BR-002/008</x:v>
      </x:c>
      <x:c r="M121" s="52" t="str">
        <x:v>not-found</x:v>
      </x:c>
      <x:c r="N121" s="52" t="str">
        <x:v>not-found</x:v>
      </x:c>
      <x:c r="O121" s="52" t="str">
        <x:v>not-found</x:v>
      </x:c>
      <x:c r="P121" s="52" t="str">
        <x:v>not-found</x:v>
      </x:c>
      <x:c r="Q121" s="55" t="str">
        <x:v>not-approved-by-this-classification</x:v>
      </x:c>
      <x:c r="R121" s="34" t="str">
        <x:v>candidate-only-after-acceptance-criterion-level-decomposition-evidence-review-and-explicit-approval</x:v>
      </x:c>
      <x:c r="S121" s="34" t="str">
        <x:v>`draft`、无批准；AGV 接入资格/模型版本候选；AC-1∼4。; detailed record: R04-functional-requirements.md matrix row 26</x:v>
      </x:c>
      <x:c r="T121" s="35" t="str">
        <x:v>R04-functional-requirements.md:50</x:v>
      </x:c>
    </x:row>
    <x:row r="122" ht="48" customHeight="1">
      <x:c r="A122" s="44" t="str">
        <x:v>R04-27</x:v>
      </x:c>
      <x:c r="B122" s="45" t="str">
        <x:v>R04</x:v>
      </x:c>
      <x:c r="C122" s="34" t="str">
        <x:v>requirement-documents/04-functional-requirements/03-agv-fleet-management/fr-026-atomic-agv-record-creation-slot-instance-generation-and-audit-logging.md</x:v>
      </x:c>
      <x:c r="D122" s="49" t="str">
        <x:v>dbef8d3f895c26e2ac8807377668c01a00b5f56740a81719daa9b7944f1f2b21</x:v>
      </x:c>
      <x:c r="E122" s="40" t="n">
        <x:v>5002</x:v>
      </x:c>
      <x:c r="F122" s="34" t="str">
        <x:v>tracked-clean</x:v>
      </x:c>
      <x:c r="G122" s="34" t="str">
        <x:v>tracked-clean</x:v>
      </x:c>
      <x:c r="H122" s="34" t="str">
        <x:v>candidate-requirement</x:v>
      </x:c>
      <x:c r="I122" s="34" t="str">
        <x:v>internal-derived-draft-functional-requirement-candidate</x:v>
      </x:c>
      <x:c r="J122" s="34" t="str">
        <x:v>unapproved-internal-derived-functional-requirement</x:v>
      </x:c>
      <x:c r="K122" s="34" t="str">
        <x:v>`draft`、无批准；档案/仓位实例原子创建候选；AC-1∼2 仍需拆创建、回滚和审计。</x:v>
      </x:c>
      <x:c r="L122" s="34" t="str">
        <x:v>[FR-026](../../../../requirement-documents/04-functional-requirements/03-agv-fleet-management/fr-026-atomic-agv-record-creation-slot-instance-generation-and-audit-logging.md) `dbef8d3f895c`；`ec`; Origin: UC-019 + BR-008；Related 另指 BR-002</x:v>
      </x:c>
      <x:c r="M122" s="52" t="str">
        <x:v>not-found</x:v>
      </x:c>
      <x:c r="N122" s="52" t="str">
        <x:v>not-found</x:v>
      </x:c>
      <x:c r="O122" s="52" t="str">
        <x:v>not-found</x:v>
      </x:c>
      <x:c r="P122" s="52" t="str">
        <x:v>not-found</x:v>
      </x:c>
      <x:c r="Q122" s="55" t="str">
        <x:v>not-approved-by-this-classification</x:v>
      </x:c>
      <x:c r="R122" s="34" t="str">
        <x:v>candidate-only-after-acceptance-criterion-level-decomposition-evidence-review-and-explicit-approval</x:v>
      </x:c>
      <x:c r="S122" s="34" t="str">
        <x:v>`draft`、无批准；档案/仓位实例原子创建候选；AC-1∼2 仍需拆创建、回滚和审计。; detailed record: R04-functional-requirements.md matrix row 27</x:v>
      </x:c>
      <x:c r="T122" s="35" t="str">
        <x:v>R04-functional-requirements.md:51</x:v>
      </x:c>
    </x:row>
    <x:row r="123" ht="48" customHeight="1">
      <x:c r="A123" s="44" t="str">
        <x:v>R04-28</x:v>
      </x:c>
      <x:c r="B123" s="45" t="str">
        <x:v>R04</x:v>
      </x:c>
      <x:c r="C123" s="34" t="str">
        <x:v>requirement-documents/04-functional-requirements/03-agv-fleet-management/fr-027-agv-enable-disable-state-transition-and-pending-effect-handling.md</x:v>
      </x:c>
      <x:c r="D123" s="49" t="str">
        <x:v>201734b6cd7c2adf1f0837d583db5a73ae10d18983c3438cfa411c5281e3fd16</x:v>
      </x:c>
      <x:c r="E123" s="40" t="n">
        <x:v>5818</x:v>
      </x:c>
      <x:c r="F123" s="34" t="str">
        <x:v>tracked-clean</x:v>
      </x:c>
      <x:c r="G123" s="34" t="str">
        <x:v>tracked-clean</x:v>
      </x:c>
      <x:c r="H123" s="34" t="str">
        <x:v>candidate-requirement</x:v>
      </x:c>
      <x:c r="I123" s="34" t="str">
        <x:v>internal-derived-draft-functional-requirement-candidate</x:v>
      </x:c>
      <x:c r="J123" s="34" t="str">
        <x:v>unapproved-internal-derived-functional-requirement</x:v>
      </x:c>
      <x:c r="K123" s="34" t="str">
        <x:v>`draft`、无批准；AGV 启停/待生效候选；AC-1∼5。</x:v>
      </x:c>
      <x:c r="L123" s="34" t="str">
        <x:v>[FR-027](../../../../requirement-documents/04-functional-requirements/03-agv-fleet-management/fr-027-agv-enable-disable-state-transition-and-pending-effect-handling.md) `201734b6cd7c`；`ec`; Origin: UC-013；Related BR-002</x:v>
      </x:c>
      <x:c r="M123" s="52" t="str">
        <x:v>not-found</x:v>
      </x:c>
      <x:c r="N123" s="52" t="str">
        <x:v>not-found</x:v>
      </x:c>
      <x:c r="O123" s="52" t="str">
        <x:v>not-found</x:v>
      </x:c>
      <x:c r="P123" s="52" t="str">
        <x:v>not-found</x:v>
      </x:c>
      <x:c r="Q123" s="55" t="str">
        <x:v>not-approved-by-this-classification</x:v>
      </x:c>
      <x:c r="R123" s="34" t="str">
        <x:v>candidate-only-after-acceptance-criterion-level-decomposition-evidence-review-and-explicit-approval</x:v>
      </x:c>
      <x:c r="S123" s="34" t="str">
        <x:v>`draft`、无批准；AGV 启停/待生效候选；AC-1∼5。; detailed record: R04-functional-requirements.md matrix row 28</x:v>
      </x:c>
      <x:c r="T123" s="35" t="str">
        <x:v>R04-functional-requirements.md:52</x:v>
      </x:c>
    </x:row>
    <x:row r="124" ht="48" customHeight="1">
      <x:c r="A124" s="44" t="str">
        <x:v>R04-29</x:v>
      </x:c>
      <x:c r="B124" s="45" t="str">
        <x:v>R04</x:v>
      </x:c>
      <x:c r="C124" s="34" t="str">
        <x:v>requirement-documents/04-functional-requirements/03-agv-fleet-management/fr-028-agv-dispatch-profile-update-eligibility-and-persistence.md</x:v>
      </x:c>
      <x:c r="D124" s="49" t="str">
        <x:v>534426abe57c97b3cc1a76f2c9b0ee8f0a5bbab420ab386a0256bd918d45a471</x:v>
      </x:c>
      <x:c r="E124" s="40" t="n">
        <x:v>5583</x:v>
      </x:c>
      <x:c r="F124" s="34" t="str">
        <x:v>tracked-clean</x:v>
      </x:c>
      <x:c r="G124" s="34" t="str">
        <x:v>tracked-clean</x:v>
      </x:c>
      <x:c r="H124" s="34" t="str">
        <x:v>candidate-requirement</x:v>
      </x:c>
      <x:c r="I124" s="34" t="str">
        <x:v>internal-derived-draft-functional-requirement-candidate</x:v>
      </x:c>
      <x:c r="J124" s="34" t="str">
        <x:v>unapproved-internal-derived-functional-requirement</x:v>
      </x:c>
      <x:c r="K124" s="34" t="str">
        <x:v>`draft`、无批准；调度配置维护候选；AC-1∼4。</x:v>
      </x:c>
      <x:c r="L124" s="34" t="str">
        <x:v>[FR-028](../../../../requirement-documents/04-functional-requirements/03-agv-fleet-management/fr-028-agv-dispatch-profile-update-eligibility-and-persistence.md) `534426abe57c`；`ec`; Origin: UC-020；Related BR-002/008</x:v>
      </x:c>
      <x:c r="M124" s="52" t="str">
        <x:v>not-found</x:v>
      </x:c>
      <x:c r="N124" s="52" t="str">
        <x:v>not-found</x:v>
      </x:c>
      <x:c r="O124" s="52" t="str">
        <x:v>not-found</x:v>
      </x:c>
      <x:c r="P124" s="52" t="str">
        <x:v>not-found</x:v>
      </x:c>
      <x:c r="Q124" s="55" t="str">
        <x:v>not-approved-by-this-classification</x:v>
      </x:c>
      <x:c r="R124" s="34" t="str">
        <x:v>candidate-only-after-acceptance-criterion-level-decomposition-evidence-review-and-explicit-approval</x:v>
      </x:c>
      <x:c r="S124" s="34" t="str">
        <x:v>`draft`、无批准；调度配置维护候选；AC-1∼4。; detailed record: R04-functional-requirements.md matrix row 29</x:v>
      </x:c>
      <x:c r="T124" s="35" t="str">
        <x:v>R04-functional-requirements.md:53</x:v>
      </x:c>
    </x:row>
    <x:row r="125" ht="48" customHeight="1">
      <x:c r="A125" s="44" t="str">
        <x:v>R04-30</x:v>
      </x:c>
      <x:c r="B125" s="45" t="str">
        <x:v>R04</x:v>
      </x:c>
      <x:c r="C125" s="34" t="str">
        <x:v>requirement-documents/04-functional-requirements/03-agv-fleet-management/fr-029-agv-archive-eligibility-check-and-state-transition.md</x:v>
      </x:c>
      <x:c r="D125" s="49" t="str">
        <x:v>0ff294b8a1102bdcad525270041f460f65ec2ad8e964e3cb03526686a8a2539d</x:v>
      </x:c>
      <x:c r="E125" s="40" t="n">
        <x:v>5222</x:v>
      </x:c>
      <x:c r="F125" s="34" t="str">
        <x:v>tracked-clean</x:v>
      </x:c>
      <x:c r="G125" s="34" t="str">
        <x:v>tracked-clean</x:v>
      </x:c>
      <x:c r="H125" s="34" t="str">
        <x:v>candidate-requirement</x:v>
      </x:c>
      <x:c r="I125" s="34" t="str">
        <x:v>internal-derived-draft-functional-requirement-candidate</x:v>
      </x:c>
      <x:c r="J125" s="34" t="str">
        <x:v>unapproved-internal-derived-functional-requirement</x:v>
      </x:c>
      <x:c r="K125" s="34" t="str">
        <x:v>`draft`、无批准；AGV 归档资格/状态迁移候选；AC-1∼4。</x:v>
      </x:c>
      <x:c r="L125" s="34" t="str">
        <x:v>[FR-029](../../../../requirement-documents/04-functional-requirements/03-agv-fleet-management/fr-029-agv-archive-eligibility-check-and-state-transition.md) `0ff294b8a110`；`ec`; Origin: UC-021；Related BR-002</x:v>
      </x:c>
      <x:c r="M125" s="52" t="str">
        <x:v>not-found</x:v>
      </x:c>
      <x:c r="N125" s="52" t="str">
        <x:v>not-found</x:v>
      </x:c>
      <x:c r="O125" s="52" t="str">
        <x:v>not-found</x:v>
      </x:c>
      <x:c r="P125" s="52" t="str">
        <x:v>not-found</x:v>
      </x:c>
      <x:c r="Q125" s="55" t="str">
        <x:v>not-approved-by-this-classification</x:v>
      </x:c>
      <x:c r="R125" s="34" t="str">
        <x:v>candidate-only-after-acceptance-criterion-level-decomposition-evidence-review-and-explicit-approval</x:v>
      </x:c>
      <x:c r="S125" s="34" t="str">
        <x:v>`draft`、无批准；AGV 归档资格/状态迁移候选；AC-1∼4。; detailed record: R04-functional-requirements.md matrix row 30</x:v>
      </x:c>
      <x:c r="T125" s="35" t="str">
        <x:v>R04-functional-requirements.md:54</x:v>
      </x:c>
    </x:row>
    <x:row r="126" ht="48" customHeight="1">
      <x:c r="A126" s="44" t="str">
        <x:v>R04-31</x:v>
      </x:c>
      <x:c r="B126" s="45" t="str">
        <x:v>R04</x:v>
      </x:c>
      <x:c r="C126" s="34" t="str">
        <x:v>requirement-documents/04-functional-requirements/03-agv-fleet-management/fr-030-agv-fleet-dashboard-display-and-eligibility-reasoning.md</x:v>
      </x:c>
      <x:c r="D126" s="49" t="str">
        <x:v>ce066e9519457b563072453105e8ff249be584063d756ab87ccd7c733312046b</x:v>
      </x:c>
      <x:c r="E126" s="40" t="n">
        <x:v>5119</x:v>
      </x:c>
      <x:c r="F126" s="34" t="str">
        <x:v>tracked-clean</x:v>
      </x:c>
      <x:c r="G126" s="34" t="str">
        <x:v>tracked-clean</x:v>
      </x:c>
      <x:c r="H126" s="34" t="str">
        <x:v>candidate-requirement</x:v>
      </x:c>
      <x:c r="I126" s="34" t="str">
        <x:v>internal-derived-draft-functional-requirement-candidate</x:v>
      </x:c>
      <x:c r="J126" s="34" t="str">
        <x:v>unapproved-internal-derived-functional-requirement</x:v>
      </x:c>
      <x:c r="K126" s="34" t="str">
        <x:v>`draft`、无批准；车队看板/可分配原因候选；AC-1∼3。</x:v>
      </x:c>
      <x:c r="L126" s="34" t="str">
        <x:v>[FR-030](../../../../requirement-documents/04-functional-requirements/03-agv-fleet-management/fr-030-agv-fleet-dashboard-display-and-eligibility-reasoning.md) `ce066e951945`；`ec`; Origin: UC-022；Related BR-002</x:v>
      </x:c>
      <x:c r="M126" s="52" t="str">
        <x:v>not-found</x:v>
      </x:c>
      <x:c r="N126" s="52" t="str">
        <x:v>not-found</x:v>
      </x:c>
      <x:c r="O126" s="52" t="str">
        <x:v>not-found</x:v>
      </x:c>
      <x:c r="P126" s="52" t="str">
        <x:v>not-found</x:v>
      </x:c>
      <x:c r="Q126" s="55" t="str">
        <x:v>not-approved-by-this-classification</x:v>
      </x:c>
      <x:c r="R126" s="34" t="str">
        <x:v>candidate-only-after-acceptance-criterion-level-decomposition-evidence-review-and-explicit-approval</x:v>
      </x:c>
      <x:c r="S126" s="34" t="str">
        <x:v>`draft`、无批准；车队看板/可分配原因候选；AC-1∼3。; detailed record: R04-functional-requirements.md matrix row 31</x:v>
      </x:c>
      <x:c r="T126" s="35" t="str">
        <x:v>R04-functional-requirements.md:55</x:v>
      </x:c>
    </x:row>
    <x:row r="127" ht="48" customHeight="1">
      <x:c r="A127" s="44" t="str">
        <x:v>R04-32</x:v>
      </x:c>
      <x:c r="B127" s="45" t="str">
        <x:v>R04</x:v>
      </x:c>
      <x:c r="C127" s="34" t="str">
        <x:v>requirement-documents/04-functional-requirements/04-transport-task-dispatch/README.md</x:v>
      </x:c>
      <x:c r="D127" s="49" t="str">
        <x:v>2b288f6ad5ede6616606260c6f4a571f684c6d29999ddec81a0a5e9b1e5e5ebd</x:v>
      </x:c>
      <x:c r="E127" s="40" t="n">
        <x:v>448</x:v>
      </x:c>
      <x:c r="F127" s="34" t="str">
        <x:v>tracked-clean</x:v>
      </x:c>
      <x:c r="G127" s="34" t="str">
        <x:v>tracked-clean</x:v>
      </x:c>
      <x:c r="H127" s="34" t="str">
        <x:v>candidate-requirement</x:v>
      </x:c>
      <x:c r="I127" s="34" t="str">
        <x:v>placeholder-or-completeness-index</x:v>
      </x:c>
      <x:c r="J127" s="34" t="str">
        <x:v>empty-domain-placeholder</x:v>
      </x:c>
      <x:c r="K127" s="34" t="str">
        <x:v>无批准对象；**占位索引/完整性缺口记录**，不生成功能需求；后续从所列 UC 拆分。</x:v>
      </x:c>
      <x:c r="L127" s="34" t="str">
        <x:v>[04-transport-task-dispatch/README.md](../../../../requirement-documents/04-functional-requirements/04-transport-task-dispatch/README.md) `2b288f6ad5ed`；`ec`; 只指向 UC-007/008/009/023/042 和分类规则，明示“暂无 FR”</x:v>
      </x:c>
      <x:c r="M127" s="52" t="str">
        <x:v>not-found</x:v>
      </x:c>
      <x:c r="N127" s="52" t="str">
        <x:v>not-found</x:v>
      </x:c>
      <x:c r="O127" s="52" t="str">
        <x:v>not-found</x:v>
      </x:c>
      <x:c r="P127" s="52" t="str">
        <x:v>not-found</x:v>
      </x:c>
      <x:c r="Q127" s="55" t="str">
        <x:v>not-approved-by-this-classification</x:v>
      </x:c>
      <x:c r="R127" s="34" t="str">
        <x:v>do-not-extract-from-this-document</x:v>
      </x:c>
      <x:c r="S127" s="34" t="str">
        <x:v>无批准对象；**占位索引/完整性缺口记录**，不生成功能需求；后续从所列 UC 拆分。; detailed record: R04-functional-requirements.md matrix row 32</x:v>
      </x:c>
      <x:c r="T127" s="35" t="str">
        <x:v>R04-functional-requirements.md:56</x:v>
      </x:c>
    </x:row>
    <x:row r="128" ht="48" customHeight="1">
      <x:c r="A128" s="44" t="str">
        <x:v>R04-33</x:v>
      </x:c>
      <x:c r="B128" s="45" t="str">
        <x:v>R04</x:v>
      </x:c>
      <x:c r="C128" s="34" t="str">
        <x:v>requirement-documents/04-functional-requirements/05-agv-charging/README.md</x:v>
      </x:c>
      <x:c r="D128" s="49" t="str">
        <x:v>5c4ec9ed7505d3d2aacd5605694e67b800b2884f7d32f109735b1facfd47b02d</x:v>
      </x:c>
      <x:c r="E128" s="40" t="n">
        <x:v>358</x:v>
      </x:c>
      <x:c r="F128" s="34" t="str">
        <x:v>tracked-clean</x:v>
      </x:c>
      <x:c r="G128" s="34" t="str">
        <x:v>tracked-clean</x:v>
      </x:c>
      <x:c r="H128" s="34" t="str">
        <x:v>candidate-requirement</x:v>
      </x:c>
      <x:c r="I128" s="34" t="str">
        <x:v>placeholder-or-completeness-index</x:v>
      </x:c>
      <x:c r="J128" s="34" t="str">
        <x:v>empty-domain-placeholder</x:v>
      </x:c>
      <x:c r="K128" s="34" t="str">
        <x:v>无批准对象；**占位索引**，不生成需求。</x:v>
      </x:c>
      <x:c r="L128" s="34" t="str">
        <x:v>[05-agv-charging/README.md](../../../../requirement-documents/04-functional-requirements/05-agv-charging/README.md) `5c4ec9ed7505`；`ec`; 指 UC-012/037，明示暂无 FR</x:v>
      </x:c>
      <x:c r="M128" s="52" t="str">
        <x:v>not-found</x:v>
      </x:c>
      <x:c r="N128" s="52" t="str">
        <x:v>not-found</x:v>
      </x:c>
      <x:c r="O128" s="52" t="str">
        <x:v>not-found</x:v>
      </x:c>
      <x:c r="P128" s="52" t="str">
        <x:v>not-found</x:v>
      </x:c>
      <x:c r="Q128" s="55" t="str">
        <x:v>not-approved-by-this-classification</x:v>
      </x:c>
      <x:c r="R128" s="34" t="str">
        <x:v>do-not-extract-from-this-document</x:v>
      </x:c>
      <x:c r="S128" s="34" t="str">
        <x:v>无批准对象；**占位索引**，不生成需求。; detailed record: R04-functional-requirements.md matrix row 33</x:v>
      </x:c>
      <x:c r="T128" s="35" t="str">
        <x:v>R04-functional-requirements.md:57</x:v>
      </x:c>
    </x:row>
    <x:row r="129" ht="48" customHeight="1">
      <x:c r="A129" s="44" t="str">
        <x:v>R04-34</x:v>
      </x:c>
      <x:c r="B129" s="45" t="str">
        <x:v>R04</x:v>
      </x:c>
      <x:c r="C129" s="34" t="str">
        <x:v>requirement-documents/04-functional-requirements/06-area-station-mapping/README.md</x:v>
      </x:c>
      <x:c r="D129" s="49" t="str">
        <x:v>f1524213b582726077fb8cc7388c3fe1bfe080ee3aa511b0b80b771fec4d9427</x:v>
      </x:c>
      <x:c r="E129" s="40" t="n">
        <x:v>387</x:v>
      </x:c>
      <x:c r="F129" s="34" t="str">
        <x:v>tracked-clean</x:v>
      </x:c>
      <x:c r="G129" s="34" t="str">
        <x:v>tracked-clean</x:v>
      </x:c>
      <x:c r="H129" s="34" t="str">
        <x:v>candidate-requirement</x:v>
      </x:c>
      <x:c r="I129" s="34" t="str">
        <x:v>placeholder-or-completeness-index</x:v>
      </x:c>
      <x:c r="J129" s="34" t="str">
        <x:v>empty-domain-placeholder</x:v>
      </x:c>
      <x:c r="K129" s="34" t="str">
        <x:v>无批准对象；**占位索引**，不生成需求。</x:v>
      </x:c>
      <x:c r="L129" s="34" t="str">
        <x:v>[06-area-station-mapping/README.md](../../../../requirement-documents/04-functional-requirements/06-area-station-mapping/README.md) `f1524213b582`；`ec`; 指 UC-024/045，明示暂无 FR</x:v>
      </x:c>
      <x:c r="M129" s="52" t="str">
        <x:v>not-found</x:v>
      </x:c>
      <x:c r="N129" s="52" t="str">
        <x:v>not-found</x:v>
      </x:c>
      <x:c r="O129" s="52" t="str">
        <x:v>not-found</x:v>
      </x:c>
      <x:c r="P129" s="52" t="str">
        <x:v>not-found</x:v>
      </x:c>
      <x:c r="Q129" s="55" t="str">
        <x:v>not-approved-by-this-classification</x:v>
      </x:c>
      <x:c r="R129" s="34" t="str">
        <x:v>do-not-extract-from-this-document</x:v>
      </x:c>
      <x:c r="S129" s="34" t="str">
        <x:v>无批准对象；**占位索引**，不生成需求。; detailed record: R04-functional-requirements.md matrix row 34</x:v>
      </x:c>
      <x:c r="T129" s="35" t="str">
        <x:v>R04-functional-requirements.md:58</x:v>
      </x:c>
    </x:row>
    <x:row r="130" ht="48" customHeight="1">
      <x:c r="A130" s="44" t="str">
        <x:v>R04-35</x:v>
      </x:c>
      <x:c r="B130" s="45" t="str">
        <x:v>R04</x:v>
      </x:c>
      <x:c r="C130" s="34" t="str">
        <x:v>requirement-documents/04-functional-requirements/07-workflow-engine/README.md</x:v>
      </x:c>
      <x:c r="D130" s="49" t="str">
        <x:v>7133c8d6bd83cc03fd897b712660091bebed9d05c6143171412842e2e2a13d3f</x:v>
      </x:c>
      <x:c r="E130" s="40" t="n">
        <x:v>353</x:v>
      </x:c>
      <x:c r="F130" s="34" t="str">
        <x:v>tracked-clean</x:v>
      </x:c>
      <x:c r="G130" s="34" t="str">
        <x:v>tracked-clean</x:v>
      </x:c>
      <x:c r="H130" s="34" t="str">
        <x:v>candidate-requirement</x:v>
      </x:c>
      <x:c r="I130" s="34" t="str">
        <x:v>placeholder-or-completeness-index</x:v>
      </x:c>
      <x:c r="J130" s="34" t="str">
        <x:v>empty-domain-placeholder</x:v>
      </x:c>
      <x:c r="K130" s="34" t="str">
        <x:v>无批准对象；**占位索引**，不生成需求。</x:v>
      </x:c>
      <x:c r="L130" s="34" t="str">
        <x:v>[07-workflow-engine/README.md](../../../../requirement-documents/04-functional-requirements/07-workflow-engine/README.md) `7133c8d6bd83`；`ec`; 指 UC-025∼029，明示暂无 FR</x:v>
      </x:c>
      <x:c r="M130" s="52" t="str">
        <x:v>not-found</x:v>
      </x:c>
      <x:c r="N130" s="52" t="str">
        <x:v>not-found</x:v>
      </x:c>
      <x:c r="O130" s="52" t="str">
        <x:v>not-found</x:v>
      </x:c>
      <x:c r="P130" s="52" t="str">
        <x:v>not-found</x:v>
      </x:c>
      <x:c r="Q130" s="55" t="str">
        <x:v>not-approved-by-this-classification</x:v>
      </x:c>
      <x:c r="R130" s="34" t="str">
        <x:v>do-not-extract-from-this-document</x:v>
      </x:c>
      <x:c r="S130" s="34" t="str">
        <x:v>无批准对象；**占位索引**，不生成需求。; detailed record: R04-functional-requirements.md matrix row 35</x:v>
      </x:c>
      <x:c r="T130" s="35" t="str">
        <x:v>R04-functional-requirements.md:59</x:v>
      </x:c>
    </x:row>
    <x:row r="131" ht="48" customHeight="1">
      <x:c r="A131" s="44" t="str">
        <x:v>R04-36</x:v>
      </x:c>
      <x:c r="B131" s="45" t="str">
        <x:v>R04</x:v>
      </x:c>
      <x:c r="C131" s="34" t="str">
        <x:v>requirement-documents/04-functional-requirements/08-user-and-access/README.md</x:v>
      </x:c>
      <x:c r="D131" s="49" t="str">
        <x:v>918ddbb467e878106f7005fa83f7c6561d7de0aadc46835c0fddf8fcaf35613c</x:v>
      </x:c>
      <x:c r="E131" s="40" t="n">
        <x:v>344</x:v>
      </x:c>
      <x:c r="F131" s="34" t="str">
        <x:v>tracked-clean</x:v>
      </x:c>
      <x:c r="G131" s="34" t="str">
        <x:v>tracked-clean</x:v>
      </x:c>
      <x:c r="H131" s="34" t="str">
        <x:v>candidate-requirement</x:v>
      </x:c>
      <x:c r="I131" s="34" t="str">
        <x:v>placeholder-or-completeness-index</x:v>
      </x:c>
      <x:c r="J131" s="34" t="str">
        <x:v>empty-domain-placeholder</x:v>
      </x:c>
      <x:c r="K131" s="34" t="str">
        <x:v>无批准对象；**占位索引**，不生成需求。</x:v>
      </x:c>
      <x:c r="L131" s="34" t="str">
        <x:v>[08-user-and-access/README.md](../../../../requirement-documents/04-functional-requirements/08-user-and-access/README.md) `918ddbb467e8`；`ec`; 指 UC-030∼033，明示暂无 FR</x:v>
      </x:c>
      <x:c r="M131" s="52" t="str">
        <x:v>not-found</x:v>
      </x:c>
      <x:c r="N131" s="52" t="str">
        <x:v>not-found</x:v>
      </x:c>
      <x:c r="O131" s="52" t="str">
        <x:v>not-found</x:v>
      </x:c>
      <x:c r="P131" s="52" t="str">
        <x:v>not-found</x:v>
      </x:c>
      <x:c r="Q131" s="55" t="str">
        <x:v>not-approved-by-this-classification</x:v>
      </x:c>
      <x:c r="R131" s="34" t="str">
        <x:v>do-not-extract-from-this-document</x:v>
      </x:c>
      <x:c r="S131" s="34" t="str">
        <x:v>无批准对象；**占位索引**，不生成需求。; detailed record: R04-functional-requirements.md matrix row 36</x:v>
      </x:c>
      <x:c r="T131" s="35" t="str">
        <x:v>R04-functional-requirements.md:60</x:v>
      </x:c>
    </x:row>
    <x:row r="132" ht="48" customHeight="1">
      <x:c r="A132" s="44" t="str">
        <x:v>R04-37</x:v>
      </x:c>
      <x:c r="B132" s="45" t="str">
        <x:v>R04</x:v>
      </x:c>
      <x:c r="C132" s="34" t="str">
        <x:v>requirement-documents/04-functional-requirements/09-logs-and-audit/README.md</x:v>
      </x:c>
      <x:c r="D132" s="49" t="str">
        <x:v>d9c2944a6d321917f1da2b5d9cd6ac45d7c369b1d486e3abee3460eecd6539e0</x:v>
      </x:c>
      <x:c r="E132" s="40" t="n">
        <x:v>345</x:v>
      </x:c>
      <x:c r="F132" s="34" t="str">
        <x:v>tracked-clean</x:v>
      </x:c>
      <x:c r="G132" s="34" t="str">
        <x:v>tracked-clean</x:v>
      </x:c>
      <x:c r="H132" s="34" t="str">
        <x:v>candidate-requirement</x:v>
      </x:c>
      <x:c r="I132" s="34" t="str">
        <x:v>placeholder-or-completeness-index</x:v>
      </x:c>
      <x:c r="J132" s="34" t="str">
        <x:v>empty-domain-placeholder</x:v>
      </x:c>
      <x:c r="K132" s="34" t="str">
        <x:v>无批准对象；**占位索引**，不生成需求。</x:v>
      </x:c>
      <x:c r="L132" s="34" t="str">
        <x:v>[09-logs-and-audit/README.md](../../../../requirement-documents/04-functional-requirements/09-logs-and-audit/README.md) `d9c2944a6d32`；`ec`; 指 UC-034∼036，明示暂无 FR</x:v>
      </x:c>
      <x:c r="M132" s="52" t="str">
        <x:v>not-found</x:v>
      </x:c>
      <x:c r="N132" s="52" t="str">
        <x:v>not-found</x:v>
      </x:c>
      <x:c r="O132" s="52" t="str">
        <x:v>not-found</x:v>
      </x:c>
      <x:c r="P132" s="52" t="str">
        <x:v>not-found</x:v>
      </x:c>
      <x:c r="Q132" s="55" t="str">
        <x:v>not-approved-by-this-classification</x:v>
      </x:c>
      <x:c r="R132" s="34" t="str">
        <x:v>do-not-extract-from-this-document</x:v>
      </x:c>
      <x:c r="S132" s="34" t="str">
        <x:v>无批准对象；**占位索引**，不生成需求。; detailed record: R04-functional-requirements.md matrix row 37</x:v>
      </x:c>
      <x:c r="T132" s="35" t="str">
        <x:v>R04-functional-requirements.md:61</x:v>
      </x:c>
    </x:row>
    <x:row r="133" ht="48" customHeight="1">
      <x:c r="A133" s="44" t="str">
        <x:v>R04-38</x:v>
      </x:c>
      <x:c r="B133" s="45" t="str">
        <x:v>R04</x:v>
      </x:c>
      <x:c r="C133" s="34" t="str">
        <x:v>requirement-documents/04-functional-requirements/10-safety-and-interlock/README.md</x:v>
      </x:c>
      <x:c r="D133" s="49" t="str">
        <x:v>0f74cb956732a3180e833572c922ed7f3b5cc09d06b139df2185d9a7c5b339b5</x:v>
      </x:c>
      <x:c r="E133" s="40" t="n">
        <x:v>506</x:v>
      </x:c>
      <x:c r="F133" s="34" t="str">
        <x:v>tracked-clean</x:v>
      </x:c>
      <x:c r="G133" s="34" t="str">
        <x:v>tracked-clean</x:v>
      </x:c>
      <x:c r="H133" s="34" t="str">
        <x:v>candidate-requirement</x:v>
      </x:c>
      <x:c r="I133" s="34" t="str">
        <x:v>placeholder-or-completeness-index</x:v>
      </x:c>
      <x:c r="J133" s="34" t="str">
        <x:v>empty-domain-placeholder</x:v>
      </x:c>
      <x:c r="K133" s="34" t="str">
        <x:v>无批准对象；**占位/追溯结构说明**，不独立生成安全需求。</x:v>
      </x:c>
      <x:c r="L133" s="34" t="str">
        <x:v>[10-safety-and-interlock/README.md](../../../../requirement-documents/04-functional-requirements/10-safety-and-interlock/README.md) `0f74cb956732`；`ec`; 指 UC-004，并记录其仅作 FR-002/006/008/009/014 次要关联，暂无主派生 FR</x:v>
      </x:c>
      <x:c r="M133" s="52" t="str">
        <x:v>not-found</x:v>
      </x:c>
      <x:c r="N133" s="52" t="str">
        <x:v>not-found</x:v>
      </x:c>
      <x:c r="O133" s="52" t="str">
        <x:v>not-found</x:v>
      </x:c>
      <x:c r="P133" s="52" t="str">
        <x:v>not-found</x:v>
      </x:c>
      <x:c r="Q133" s="55" t="str">
        <x:v>not-approved-by-this-classification</x:v>
      </x:c>
      <x:c r="R133" s="34" t="str">
        <x:v>do-not-extract-from-this-document</x:v>
      </x:c>
      <x:c r="S133" s="34" t="str">
        <x:v>无批准对象；**占位/追溯结构说明**，不独立生成安全需求。; detailed record: R04-functional-requirements.md matrix row 38</x:v>
      </x:c>
      <x:c r="T133" s="35" t="str">
        <x:v>R04-functional-requirements.md:62</x:v>
      </x:c>
    </x:row>
    <x:row r="134" ht="48" customHeight="1">
      <x:c r="A134" s="44" t="str">
        <x:v>R04-39</x:v>
      </x:c>
      <x:c r="B134" s="45" t="str">
        <x:v>R04</x:v>
      </x:c>
      <x:c r="C134" s="34" t="str">
        <x:v>requirement-documents/04-functional-requirements/11-agv-parking/README.md</x:v>
      </x:c>
      <x:c r="D134" s="49" t="str">
        <x:v>95c7dc7a1af71a145230dfead61eeca2376b7f3144d6f8b99cab656368a2d22c</x:v>
      </x:c>
      <x:c r="E134" s="40" t="n">
        <x:v>360</x:v>
      </x:c>
      <x:c r="F134" s="34" t="str">
        <x:v>tracked-clean</x:v>
      </x:c>
      <x:c r="G134" s="34" t="str">
        <x:v>tracked-clean</x:v>
      </x:c>
      <x:c r="H134" s="34" t="str">
        <x:v>candidate-requirement</x:v>
      </x:c>
      <x:c r="I134" s="34" t="str">
        <x:v>placeholder-or-completeness-index</x:v>
      </x:c>
      <x:c r="J134" s="34" t="str">
        <x:v>empty-domain-placeholder</x:v>
      </x:c>
      <x:c r="K134" s="34" t="str">
        <x:v>无批准对象；**占位索引**，不生成需求。</x:v>
      </x:c>
      <x:c r="L134" s="34" t="str">
        <x:v>[11-agv-parking/README.md](../../../../requirement-documents/04-functional-requirements/11-agv-parking/README.md) `95c7dc7a1af7`；`ec`; 指 UC-040/041，明示暂无 FR</x:v>
      </x:c>
      <x:c r="M134" s="52" t="str">
        <x:v>not-found</x:v>
      </x:c>
      <x:c r="N134" s="52" t="str">
        <x:v>not-found</x:v>
      </x:c>
      <x:c r="O134" s="52" t="str">
        <x:v>not-found</x:v>
      </x:c>
      <x:c r="P134" s="52" t="str">
        <x:v>not-found</x:v>
      </x:c>
      <x:c r="Q134" s="55" t="str">
        <x:v>not-approved-by-this-classification</x:v>
      </x:c>
      <x:c r="R134" s="34" t="str">
        <x:v>do-not-extract-from-this-document</x:v>
      </x:c>
      <x:c r="S134" s="34" t="str">
        <x:v>无批准对象；**占位索引**，不生成需求。; detailed record: R04-functional-requirements.md matrix row 39</x:v>
      </x:c>
      <x:c r="T134" s="35" t="str">
        <x:v>R04-functional-requirements.md:63</x:v>
      </x:c>
    </x:row>
    <x:row r="135" ht="48" customHeight="1">
      <x:c r="A135" s="44" t="str">
        <x:v>R04-40</x:v>
      </x:c>
      <x:c r="B135" s="45" t="str">
        <x:v>R04</x:v>
      </x:c>
      <x:c r="C135" s="34" t="str">
        <x:v>requirement-documents/04-functional-requirements/fr-template-guide.md</x:v>
      </x:c>
      <x:c r="D135" s="49" t="str">
        <x:v>56dd687c05f63eca25c37d8cb95354c175de8850af928e3250da00fe958b84ba</x:v>
      </x:c>
      <x:c r="E135" s="40" t="n">
        <x:v>4805</x:v>
      </x:c>
      <x:c r="F135" s="34" t="str">
        <x:v>tracked-clean</x:v>
      </x:c>
      <x:c r="G135" s="34" t="str">
        <x:v>tracked-clean</x:v>
      </x:c>
      <x:c r="H135" s="34" t="str">
        <x:v>candidate-requirement</x:v>
      </x:c>
      <x:c r="I135" s="34" t="str">
        <x:v>writing-guide</x:v>
      </x:c>
      <x:c r="J135" s="34" t="str">
        <x:v>recording-guidance</x:v>
      </x:c>
      <x:c r="K135" s="34" t="str">
        <x:v>无业务批准对象；**纯写作/记录指南**，可约束形式但不表达系统功能要求。</x:v>
      </x:c>
      <x:c r="L135" s="34" t="str">
        <x:v>[fr-template-guide.md](../../../../requirement-documents/04-functional-requirements/fr-template-guide.md) `56dd687c05f6`；`ec`; `type: template-guide,status: reference`；以 FR-001/002 为范例规定 BR→UC→FR→TC、Origin、G/W/T 和粒度</x:v>
      </x:c>
      <x:c r="M135" s="52" t="str">
        <x:v>not-found</x:v>
      </x:c>
      <x:c r="N135" s="52" t="str">
        <x:v>not-found</x:v>
      </x:c>
      <x:c r="O135" s="52" t="str">
        <x:v>not-found</x:v>
      </x:c>
      <x:c r="P135" s="52" t="str">
        <x:v>not-found</x:v>
      </x:c>
      <x:c r="Q135" s="55" t="str">
        <x:v>not-approved-by-this-classification</x:v>
      </x:c>
      <x:c r="R135" s="34" t="str">
        <x:v>do-not-extract-from-this-document</x:v>
      </x:c>
      <x:c r="S135" s="34" t="str">
        <x:v>无业务批准对象；**纯写作/记录指南**，可约束形式但不表达系统功能要求。; detailed record: R04-functional-requirements.md matrix row 40</x:v>
      </x:c>
      <x:c r="T135" s="35" t="str">
        <x:v>R04-functional-requirements.md:64</x:v>
      </x:c>
    </x:row>
    <x:row r="136" ht="48" customHeight="1">
      <x:c r="A136" s="44" t="str">
        <x:v>R04-41</x:v>
      </x:c>
      <x:c r="B136" s="45" t="str">
        <x:v>R04</x:v>
      </x:c>
      <x:c r="C136" s="34" t="str">
        <x:v>requirement-documents/04-functional-requirements/README.md</x:v>
      </x:c>
      <x:c r="D136" s="49" t="str">
        <x:v>ad99bf90ceba5650fe9f219385a82842a4fecbb1f111e89b4bc25387b3a76597</x:v>
      </x:c>
      <x:c r="E136" s="40" t="n">
        <x:v>1304</x:v>
      </x:c>
      <x:c r="F136" s="34" t="str">
        <x:v>tracked-clean</x:v>
      </x:c>
      <x:c r="G136" s="34" t="str">
        <x:v>tracked-clean</x:v>
      </x:c>
      <x:c r="H136" s="34" t="str">
        <x:v>candidate-requirement</x:v>
      </x:c>
      <x:c r="I136" s="34" t="str">
        <x:v>directory-index</x:v>
      </x:c>
      <x:c r="J136" s="34" t="str">
        <x:v>navigation-index</x:v>
      </x:c>
      <x:c r="K136" s="34" t="str">
        <x:v>无业务批准对象；**导航/编辑索引**；“黄金样例”是写作参考，不赋予 FR-001/002 批准性。</x:v>
      </x:c>
      <x:c r="L136" s="34" t="str">
        <x:v>[04-functional-requirements/README.md](../../../../requirement-documents/04-functional-requirements/README.md) `ad99bf90ceba`；`96→ec`; 根索引：模板、指南、“黄金样例”、frontmatter 追溯与领域分类</x:v>
      </x:c>
      <x:c r="M136" s="52" t="str">
        <x:v>not-found</x:v>
      </x:c>
      <x:c r="N136" s="52" t="str">
        <x:v>not-found</x:v>
      </x:c>
      <x:c r="O136" s="52" t="str">
        <x:v>not-found</x:v>
      </x:c>
      <x:c r="P136" s="52" t="str">
        <x:v>not-found</x:v>
      </x:c>
      <x:c r="Q136" s="55" t="str">
        <x:v>not-approved-by-this-classification</x:v>
      </x:c>
      <x:c r="R136" s="34" t="str">
        <x:v>do-not-extract-from-this-document</x:v>
      </x:c>
      <x:c r="S136" s="34" t="str">
        <x:v>无业务批准对象；**导航/编辑索引**；“黄金样例”是写作参考，不赋予 FR-001/002 批准性。; detailed record: R04-functional-requirements.md matrix row 41</x:v>
      </x:c>
      <x:c r="T136" s="35" t="str">
        <x:v>R04-functional-requirements.md:65</x:v>
      </x:c>
    </x:row>
    <x:row r="137" ht="48" customHeight="1">
      <x:c r="A137" s="44" t="str">
        <x:v>R05-01</x:v>
      </x:c>
      <x:c r="B137" s="45" t="str">
        <x:v>R05</x:v>
      </x:c>
      <x:c r="C137" s="34" t="str">
        <x:v>requirement-documents/05-test-cases/01-site-operations/tc-001-pending-slot-exists-pass.md</x:v>
      </x:c>
      <x:c r="D137" s="49" t="str">
        <x:v>43855625b2474f4721c25c25f5fe7cbb3db95cc2ce8af986348fe03110425c4a</x:v>
      </x:c>
      <x:c r="E137" s="40" t="n">
        <x:v>608</x:v>
      </x:c>
      <x:c r="F137" s="34" t="str">
        <x:v>tracked-clean</x:v>
      </x:c>
      <x:c r="G137" s="34" t="str">
        <x:v>tracked-clean</x:v>
      </x:c>
      <x:c r="H137" s="34" t="str">
        <x:v>candidate-acceptance</x:v>
      </x:c>
      <x:c r="I137" s="34" t="str">
        <x:v>R05-C1</x:v>
      </x:c>
      <x:c r="J137" s="34" t="str">
        <x:v>unapproved-acceptance-draft-derived-from-draft-FR-AC</x:v>
      </x:c>
      <x:c r="K137" s="34" t="str">
        <x:v>无剩余任务时结束资格; C1; not executed</x:v>
      </x:c>
      <x:c r="L137" s="34" t="str">
        <x:v>`43855625b247` / H1; derived object: FR-003 AC-1</x:v>
      </x:c>
      <x:c r="M137" s="52" t="str">
        <x:v>not-found</x:v>
      </x:c>
      <x:c r="N137" s="52" t="str">
        <x:v>not-found</x:v>
      </x:c>
      <x:c r="O137" s="52" t="str">
        <x:v>not-found</x:v>
      </x:c>
      <x:c r="P137" s="52" t="str">
        <x:v>not-found</x:v>
      </x:c>
      <x:c r="Q137" s="55" t="str">
        <x:v>not-approved-by-this-classification</x:v>
      </x:c>
      <x:c r="R137" s="34" t="str">
        <x:v>candidate-only-after-scenario-level-evidence-review-and-explicit-approval</x:v>
      </x:c>
      <x:c r="S137" s="34" t="str">
        <x:v>FR-003 AC-1; C1; detailed record: R05-site-operation-acceptance-scenarios.md line 51; execution evidence remains separate</x:v>
      </x:c>
      <x:c r="T137" s="35" t="str">
        <x:v>R05-site-operation-acceptance-scenarios.md:51</x:v>
      </x:c>
    </x:row>
    <x:row r="138" ht="48" customHeight="1">
      <x:c r="A138" s="44" t="str">
        <x:v>R05-02</x:v>
      </x:c>
      <x:c r="B138" s="45" t="str">
        <x:v>R05</x:v>
      </x:c>
      <x:c r="C138" s="34" t="str">
        <x:v>requirement-documents/05-test-cases/01-site-operations/tc-002-no-pending-slot-reject.md</x:v>
      </x:c>
      <x:c r="D138" s="49" t="str">
        <x:v>a085fcda33c0de14d19a0f49f80f3bd2d70af13a1c96cdcdb011b2926938083f</x:v>
      </x:c>
      <x:c r="E138" s="40" t="n">
        <x:v>662</x:v>
      </x:c>
      <x:c r="F138" s="34" t="str">
        <x:v>tracked-clean</x:v>
      </x:c>
      <x:c r="G138" s="34" t="str">
        <x:v>tracked-clean</x:v>
      </x:c>
      <x:c r="H138" s="34" t="str">
        <x:v>candidate-acceptance</x:v>
      </x:c>
      <x:c r="I138" s="34" t="str">
        <x:v>R05-C1</x:v>
      </x:c>
      <x:c r="J138" s="34" t="str">
        <x:v>unapproved-acceptance-draft-derived-from-draft-FR-AC</x:v>
      </x:c>
      <x:c r="K138" s="34" t="str">
        <x:v>有剩余任务时二次确认; C1; not executed</x:v>
      </x:c>
      <x:c r="L138" s="34" t="str">
        <x:v>`a085fcda33c0` / H1; derived object: FR-003 AC-2</x:v>
      </x:c>
      <x:c r="M138" s="52" t="str">
        <x:v>not-found</x:v>
      </x:c>
      <x:c r="N138" s="52" t="str">
        <x:v>not-found</x:v>
      </x:c>
      <x:c r="O138" s="52" t="str">
        <x:v>not-found</x:v>
      </x:c>
      <x:c r="P138" s="52" t="str">
        <x:v>not-found</x:v>
      </x:c>
      <x:c r="Q138" s="55" t="str">
        <x:v>not-approved-by-this-classification</x:v>
      </x:c>
      <x:c r="R138" s="34" t="str">
        <x:v>candidate-only-after-scenario-level-evidence-review-and-explicit-approval</x:v>
      </x:c>
      <x:c r="S138" s="34" t="str">
        <x:v>FR-003 AC-2; C1; detailed record: R05-site-operation-acceptance-scenarios.md line 52; execution evidence remains separate</x:v>
      </x:c>
      <x:c r="T138" s="35" t="str">
        <x:v>R05-site-operation-acceptance-scenarios.md:52</x:v>
      </x:c>
    </x:row>
    <x:row r="139" ht="48" customHeight="1">
      <x:c r="A139" s="44" t="str">
        <x:v>R05-03</x:v>
      </x:c>
      <x:c r="B139" s="45" t="str">
        <x:v>R05</x:v>
      </x:c>
      <x:c r="C139" s="34" t="str">
        <x:v>requirement-documents/05-test-cases/01-site-operations/tc-003-door-or-curtain-mismatch-reject.md</x:v>
      </x:c>
      <x:c r="D139" s="49" t="str">
        <x:v>d7654d1627349697bfcc722159cf3dae6221e6300c35d49064c0af7a2ed2f649</x:v>
      </x:c>
      <x:c r="E139" s="40" t="n">
        <x:v>675</x:v>
      </x:c>
      <x:c r="F139" s="34" t="str">
        <x:v>tracked-clean</x:v>
      </x:c>
      <x:c r="G139" s="34" t="str">
        <x:v>tracked-clean</x:v>
      </x:c>
      <x:c r="H139" s="34" t="str">
        <x:v>candidate-acceptance</x:v>
      </x:c>
      <x:c r="I139" s="34" t="str">
        <x:v>R05-C1</x:v>
      </x:c>
      <x:c r="J139" s="34" t="str">
        <x:v>unapproved-acceptance-draft-derived-from-draft-FR-AC</x:v>
      </x:c>
      <x:c r="K139" s="34" t="str">
        <x:v>未收敛/未知阻断整站结束; C1; not executed</x:v>
      </x:c>
      <x:c r="L139" s="34" t="str">
        <x:v>`d7654d162734` / H1; derived object: FR-003 AC-3</x:v>
      </x:c>
      <x:c r="M139" s="52" t="str">
        <x:v>not-found</x:v>
      </x:c>
      <x:c r="N139" s="52" t="str">
        <x:v>not-found</x:v>
      </x:c>
      <x:c r="O139" s="52" t="str">
        <x:v>not-found</x:v>
      </x:c>
      <x:c r="P139" s="52" t="str">
        <x:v>not-found</x:v>
      </x:c>
      <x:c r="Q139" s="55" t="str">
        <x:v>not-approved-by-this-classification</x:v>
      </x:c>
      <x:c r="R139" s="34" t="str">
        <x:v>candidate-only-after-scenario-level-evidence-review-and-explicit-approval</x:v>
      </x:c>
      <x:c r="S139" s="34" t="str">
        <x:v>FR-003 AC-3; C1; detailed record: R05-site-operation-acceptance-scenarios.md line 53; execution evidence remains separate</x:v>
      </x:c>
      <x:c r="T139" s="35" t="str">
        <x:v>R05-site-operation-acceptance-scenarios.md:53</x:v>
      </x:c>
    </x:row>
    <x:row r="140" ht="48" customHeight="1">
      <x:c r="A140" s="44" t="str">
        <x:v>R05-04</x:v>
      </x:c>
      <x:c r="B140" s="45" t="str">
        <x:v>R05</x:v>
      </x:c>
      <x:c r="C140" s="34" t="str">
        <x:v>requirement-documents/05-test-cases/01-site-operations/tc-004-batch-confirm-success-and-record.md</x:v>
      </x:c>
      <x:c r="D140" s="49" t="str">
        <x:v>e9eb15d41eefb95f5b0c95b3215539293fcbc220bd1635b20d0f0e8be840d8ad</x:v>
      </x:c>
      <x:c r="E140" s="40" t="n">
        <x:v>618</x:v>
      </x:c>
      <x:c r="F140" s="34" t="str">
        <x:v>tracked-clean</x:v>
      </x:c>
      <x:c r="G140" s="34" t="str">
        <x:v>tracked-clean</x:v>
      </x:c>
      <x:c r="H140" s="34" t="str">
        <x:v>candidate-acceptance</x:v>
      </x:c>
      <x:c r="I140" s="34" t="str">
        <x:v>R05-C1</x:v>
      </x:c>
      <x:c r="J140" s="34" t="str">
        <x:v>unapproved-acceptance-draft-derived-from-draft-FR-AC</x:v>
      </x:c>
      <x:c r="K140" s="34" t="str">
        <x:v>StopClosureCommit 原子提交/回滚; C1; not executed</x:v>
      </x:c>
      <x:c r="L140" s="34" t="str">
        <x:v>`e9eb15d41eef` / H1; derived object: FR-004 AC-1</x:v>
      </x:c>
      <x:c r="M140" s="52" t="str">
        <x:v>not-found</x:v>
      </x:c>
      <x:c r="N140" s="52" t="str">
        <x:v>not-found</x:v>
      </x:c>
      <x:c r="O140" s="52" t="str">
        <x:v>not-found</x:v>
      </x:c>
      <x:c r="P140" s="52" t="str">
        <x:v>not-found</x:v>
      </x:c>
      <x:c r="Q140" s="55" t="str">
        <x:v>not-approved-by-this-classification</x:v>
      </x:c>
      <x:c r="R140" s="34" t="str">
        <x:v>candidate-only-after-scenario-level-evidence-review-and-explicit-approval</x:v>
      </x:c>
      <x:c r="S140" s="34" t="str">
        <x:v>FR-004 AC-1; C1; detailed record: R05-site-operation-acceptance-scenarios.md line 54; execution evidence remains separate</x:v>
      </x:c>
      <x:c r="T140" s="35" t="str">
        <x:v>R05-site-operation-acceptance-scenarios.md:54</x:v>
      </x:c>
    </x:row>
    <x:row r="141" ht="48" customHeight="1">
      <x:c r="A141" s="44" t="str">
        <x:v>R05-05</x:v>
      </x:c>
      <x:c r="B141" s="45" t="str">
        <x:v>R05</x:v>
      </x:c>
      <x:c r="C141" s="34" t="str">
        <x:v>requirement-documents/05-test-cases/01-site-operations/tc-005-session-closure-on-confirm.md</x:v>
      </x:c>
      <x:c r="D141" s="49" t="str">
        <x:v>a24a2e08abb561529d25e56ce8b130bf8c4dcaa886c21025f248b86eb0da3fe8</x:v>
      </x:c>
      <x:c r="E141" s="40" t="n">
        <x:v>624</x:v>
      </x:c>
      <x:c r="F141" s="34" t="str">
        <x:v>tracked-clean</x:v>
      </x:c>
      <x:c r="G141" s="34" t="str">
        <x:v>tracked-clean</x:v>
      </x:c>
      <x:c r="H141" s="34" t="str">
        <x:v>candidate-acceptance</x:v>
      </x:c>
      <x:c r="I141" s="34" t="str">
        <x:v>R05-C1</x:v>
      </x:c>
      <x:c r="J141" s="34" t="str">
        <x:v>unapproved-acceptance-draft-derived-from-draft-FR-AC</x:v>
      </x:c>
      <x:c r="K141" s="34" t="str">
        <x:v>整站提交立即结束会话; C1; not executed</x:v>
      </x:c>
      <x:c r="L141" s="34" t="str">
        <x:v>`a24a2e08abb5` / H1; derived object: FR-004 AC-2</x:v>
      </x:c>
      <x:c r="M141" s="52" t="str">
        <x:v>not-found</x:v>
      </x:c>
      <x:c r="N141" s="52" t="str">
        <x:v>not-found</x:v>
      </x:c>
      <x:c r="O141" s="52" t="str">
        <x:v>not-found</x:v>
      </x:c>
      <x:c r="P141" s="52" t="str">
        <x:v>not-found</x:v>
      </x:c>
      <x:c r="Q141" s="55" t="str">
        <x:v>not-approved-by-this-classification</x:v>
      </x:c>
      <x:c r="R141" s="34" t="str">
        <x:v>candidate-only-after-scenario-level-evidence-review-and-explicit-approval</x:v>
      </x:c>
      <x:c r="S141" s="34" t="str">
        <x:v>FR-004 AC-2; C1; detailed record: R05-site-operation-acceptance-scenarios.md line 55; execution evidence remains separate</x:v>
      </x:c>
      <x:c r="T141" s="35" t="str">
        <x:v>R05-site-operation-acceptance-scenarios.md:55</x:v>
      </x:c>
    </x:row>
    <x:row r="142" ht="48" customHeight="1">
      <x:c r="A142" s="44" t="str">
        <x:v>R05-06</x:v>
      </x:c>
      <x:c r="B142" s="45" t="str">
        <x:v>R05</x:v>
      </x:c>
      <x:c r="C142" s="34" t="str">
        <x:v>requirement-documents/05-test-cases/01-site-operations/tc-006-confirm-non-reversible.md</x:v>
      </x:c>
      <x:c r="D142" s="49" t="str">
        <x:v>cd04d344761829487dba79d23e1029ab9283992474dd6b95c48081efa582dc91</x:v>
      </x:c>
      <x:c r="E142" s="40" t="n">
        <x:v>566</x:v>
      </x:c>
      <x:c r="F142" s="34" t="str">
        <x:v>tracked-clean</x:v>
      </x:c>
      <x:c r="G142" s="34" t="str">
        <x:v>tracked-clean</x:v>
      </x:c>
      <x:c r="H142" s="34" t="str">
        <x:v>candidate-acceptance</x:v>
      </x:c>
      <x:c r="I142" s="34" t="str">
        <x:v>R05-C1</x:v>
      </x:c>
      <x:c r="J142" s="34" t="str">
        <x:v>unapproved-acceptance-draft-derived-from-draft-FR-AC</x:v>
      </x:c>
      <x:c r="K142" s="34" t="str">
        <x:v>发车失败不撤销整站结束; C1; not executed</x:v>
      </x:c>
      <x:c r="L142" s="34" t="str">
        <x:v>`cd04d3447618` / H1; derived object: FR-004 AC-4</x:v>
      </x:c>
      <x:c r="M142" s="52" t="str">
        <x:v>not-found</x:v>
      </x:c>
      <x:c r="N142" s="52" t="str">
        <x:v>not-found</x:v>
      </x:c>
      <x:c r="O142" s="52" t="str">
        <x:v>not-found</x:v>
      </x:c>
      <x:c r="P142" s="52" t="str">
        <x:v>not-found</x:v>
      </x:c>
      <x:c r="Q142" s="55" t="str">
        <x:v>not-approved-by-this-classification</x:v>
      </x:c>
      <x:c r="R142" s="34" t="str">
        <x:v>candidate-only-after-scenario-level-evidence-review-and-explicit-approval</x:v>
      </x:c>
      <x:c r="S142" s="34" t="str">
        <x:v>FR-004 AC-4; C1; detailed record: R05-site-operation-acceptance-scenarios.md line 56; execution evidence remains separate</x:v>
      </x:c>
      <x:c r="T142" s="35" t="str">
        <x:v>R05-site-operation-acceptance-scenarios.md:56</x:v>
      </x:c>
    </x:row>
    <x:row r="143" ht="48" customHeight="1">
      <x:c r="A143" s="44" t="str">
        <x:v>R05-07</x:v>
      </x:c>
      <x:c r="B143" s="45" t="str">
        <x:v>R05</x:v>
      </x:c>
      <x:c r="C143" s="34" t="str">
        <x:v>requirement-documents/05-test-cases/01-site-operations/tc-007-retrieval-eligibility-pass.md</x:v>
      </x:c>
      <x:c r="D143" s="49" t="str">
        <x:v>1dc47afac3b1c9246246ca996dd6281c6d6b37141aa35494c2c56413a49377f4</x:v>
      </x:c>
      <x:c r="E143" s="40" t="n">
        <x:v>837</x:v>
      </x:c>
      <x:c r="F143" s="34" t="str">
        <x:v>tracked-clean</x:v>
      </x:c>
      <x:c r="G143" s="34" t="str">
        <x:v>tracked-clean</x:v>
      </x:c>
      <x:c r="H143" s="34" t="str">
        <x:v>candidate-acceptance</x:v>
      </x:c>
      <x:c r="I143" s="34" t="str">
        <x:v>R05-C1</x:v>
      </x:c>
      <x:c r="J143" s="34" t="str">
        <x:v>unapproved-acceptance-draft-derived-from-draft-FR-AC</x:v>
      </x:c>
      <x:c r="K143" s="34" t="str">
        <x:v>原仓位纠错授权通过; C1; not executed</x:v>
      </x:c>
      <x:c r="L143" s="34" t="str">
        <x:v>`1dc47afac3b1` / H1; derived object: FR-005 AC-1</x:v>
      </x:c>
      <x:c r="M143" s="52" t="str">
        <x:v>not-found</x:v>
      </x:c>
      <x:c r="N143" s="52" t="str">
        <x:v>not-found</x:v>
      </x:c>
      <x:c r="O143" s="52" t="str">
        <x:v>not-found</x:v>
      </x:c>
      <x:c r="P143" s="52" t="str">
        <x:v>not-found</x:v>
      </x:c>
      <x:c r="Q143" s="55" t="str">
        <x:v>not-approved-by-this-classification</x:v>
      </x:c>
      <x:c r="R143" s="34" t="str">
        <x:v>candidate-only-after-scenario-level-evidence-review-and-explicit-approval</x:v>
      </x:c>
      <x:c r="S143" s="34" t="str">
        <x:v>FR-005 AC-1; C1; detailed record: R05-site-operation-acceptance-scenarios.md line 57; execution evidence remains separate</x:v>
      </x:c>
      <x:c r="T143" s="35" t="str">
        <x:v>R05-site-operation-acceptance-scenarios.md:57</x:v>
      </x:c>
    </x:row>
    <x:row r="144" ht="48" customHeight="1">
      <x:c r="A144" s="44" t="str">
        <x:v>R05-08</x:v>
      </x:c>
      <x:c r="B144" s="45" t="str">
        <x:v>R05</x:v>
      </x:c>
      <x:c r="C144" s="34" t="str">
        <x:v>requirement-documents/05-test-cases/01-site-operations/tc-008-retrieval-eligibility-reject.md</x:v>
      </x:c>
      <x:c r="D144" s="49" t="str">
        <x:v>41e45164edc1acbba4e75725935a788c2ec383d15f10762043d9ac6641e40e47</x:v>
      </x:c>
      <x:c r="E144" s="40" t="n">
        <x:v>772</x:v>
      </x:c>
      <x:c r="F144" s="34" t="str">
        <x:v>tracked-clean</x:v>
      </x:c>
      <x:c r="G144" s="34" t="str">
        <x:v>tracked-clean</x:v>
      </x:c>
      <x:c r="H144" s="34" t="str">
        <x:v>candidate-acceptance</x:v>
      </x:c>
      <x:c r="I144" s="34" t="str">
        <x:v>R05-C1</x:v>
      </x:c>
      <x:c r="J144" s="34" t="str">
        <x:v>unapproved-acceptance-draft-derived-from-draft-FR-AC</x:v>
      </x:c>
      <x:c r="K144" s="34" t="str">
        <x:v>不合法纠错拒绝; C1; not executed</x:v>
      </x:c>
      <x:c r="L144" s="34" t="str">
        <x:v>`41e45164edc1` / H1; derived object: FR-005 AC-2</x:v>
      </x:c>
      <x:c r="M144" s="52" t="str">
        <x:v>not-found</x:v>
      </x:c>
      <x:c r="N144" s="52" t="str">
        <x:v>not-found</x:v>
      </x:c>
      <x:c r="O144" s="52" t="str">
        <x:v>not-found</x:v>
      </x:c>
      <x:c r="P144" s="52" t="str">
        <x:v>not-found</x:v>
      </x:c>
      <x:c r="Q144" s="55" t="str">
        <x:v>not-approved-by-this-classification</x:v>
      </x:c>
      <x:c r="R144" s="34" t="str">
        <x:v>candidate-only-after-scenario-level-evidence-review-and-explicit-approval</x:v>
      </x:c>
      <x:c r="S144" s="34" t="str">
        <x:v>FR-005 AC-2; C1; detailed record: R05-site-operation-acceptance-scenarios.md line 58; execution evidence remains separate</x:v>
      </x:c>
      <x:c r="T144" s="35" t="str">
        <x:v>R05-site-operation-acceptance-scenarios.md:58</x:v>
      </x:c>
    </x:row>
    <x:row r="145" ht="48" customHeight="1">
      <x:c r="A145" s="44" t="str">
        <x:v>R05-09</x:v>
      </x:c>
      <x:c r="B145" s="45" t="str">
        <x:v>R05</x:v>
      </x:c>
      <x:c r="C145" s="34" t="str">
        <x:v>requirement-documents/05-test-cases/01-site-operations/tc-009-retrieval-move-interlock-block.md</x:v>
      </x:c>
      <x:c r="D145" s="49" t="str">
        <x:v>3bb2c3076ec9c2b3f6a326c248235dc7cc970629d9168a416024524564fcc3ed</x:v>
      </x:c>
      <x:c r="E145" s="40" t="n">
        <x:v>662</x:v>
      </x:c>
      <x:c r="F145" s="34" t="str">
        <x:v>tracked-clean</x:v>
      </x:c>
      <x:c r="G145" s="34" t="str">
        <x:v>tracked-clean</x:v>
      </x:c>
      <x:c r="H145" s="34" t="str">
        <x:v>candidate-acceptance</x:v>
      </x:c>
      <x:c r="I145" s="34" t="str">
        <x:v>R05-C1</x:v>
      </x:c>
      <x:c r="J145" s="34" t="str">
        <x:v>unapproved-acceptance-draft-derived-from-draft-FR-AC</x:v>
      </x:c>
      <x:c r="K145" s="34" t="str">
        <x:v>移动联锁阻断纠错开锁; C1; not executed</x:v>
      </x:c>
      <x:c r="L145" s="34" t="str">
        <x:v>`3bb2c3076ec9` / H1; derived object: FR-006 AC-1</x:v>
      </x:c>
      <x:c r="M145" s="52" t="str">
        <x:v>not-found</x:v>
      </x:c>
      <x:c r="N145" s="52" t="str">
        <x:v>not-found</x:v>
      </x:c>
      <x:c r="O145" s="52" t="str">
        <x:v>not-found</x:v>
      </x:c>
      <x:c r="P145" s="52" t="str">
        <x:v>not-found</x:v>
      </x:c>
      <x:c r="Q145" s="55" t="str">
        <x:v>not-approved-by-this-classification</x:v>
      </x:c>
      <x:c r="R145" s="34" t="str">
        <x:v>candidate-only-after-scenario-level-evidence-review-and-explicit-approval</x:v>
      </x:c>
      <x:c r="S145" s="34" t="str">
        <x:v>FR-006 AC-1; C1; detailed record: R05-site-operation-acceptance-scenarios.md line 59; execution evidence remains separate</x:v>
      </x:c>
      <x:c r="T145" s="35" t="str">
        <x:v>R05-site-operation-acceptance-scenarios.md:59</x:v>
      </x:c>
    </x:row>
    <x:row r="146" ht="48" customHeight="1">
      <x:c r="A146" s="44" t="str">
        <x:v>R05-10</x:v>
      </x:c>
      <x:c r="B146" s="45" t="str">
        <x:v>R05</x:v>
      </x:c>
      <x:c r="C146" s="34" t="str">
        <x:v>requirement-documents/05-test-cases/01-site-operations/tc-010-retrieval-batch-unlock-success.md</x:v>
      </x:c>
      <x:c r="D146" s="49" t="str">
        <x:v>0445af6c0df5e2a6104064c4b4f79647967e4fe2e0d0b3be3238c12f6e6658ec</x:v>
      </x:c>
      <x:c r="E146" s="40" t="n">
        <x:v>690</x:v>
      </x:c>
      <x:c r="F146" s="34" t="str">
        <x:v>tracked-clean</x:v>
      </x:c>
      <x:c r="G146" s="34" t="str">
        <x:v>tracked-clean</x:v>
      </x:c>
      <x:c r="H146" s="34" t="str">
        <x:v>candidate-acceptance</x:v>
      </x:c>
      <x:c r="I146" s="34" t="str">
        <x:v>R05-C1</x:v>
      </x:c>
      <x:c r="J146" s="34" t="str">
        <x:v>unapproved-acceptance-draft-derived-from-draft-FR-AC</x:v>
      </x:c>
      <x:c r="K146" s="34" t="str">
        <x:v>纠错只开原仓位; C1; not executed</x:v>
      </x:c>
      <x:c r="L146" s="34" t="str">
        <x:v>`0445af6c0df5` / H1; derived object: FR-006 AC-2</x:v>
      </x:c>
      <x:c r="M146" s="52" t="str">
        <x:v>not-found</x:v>
      </x:c>
      <x:c r="N146" s="52" t="str">
        <x:v>not-found</x:v>
      </x:c>
      <x:c r="O146" s="52" t="str">
        <x:v>not-found</x:v>
      </x:c>
      <x:c r="P146" s="52" t="str">
        <x:v>not-found</x:v>
      </x:c>
      <x:c r="Q146" s="55" t="str">
        <x:v>not-approved-by-this-classification</x:v>
      </x:c>
      <x:c r="R146" s="34" t="str">
        <x:v>candidate-only-after-scenario-level-evidence-review-and-explicit-approval</x:v>
      </x:c>
      <x:c r="S146" s="34" t="str">
        <x:v>FR-006 AC-2; C1; detailed record: R05-site-operation-acceptance-scenarios.md line 60; execution evidence remains separate</x:v>
      </x:c>
      <x:c r="T146" s="35" t="str">
        <x:v>R05-site-operation-acceptance-scenarios.md:60</x:v>
      </x:c>
    </x:row>
    <x:row r="147" ht="48" customHeight="1">
      <x:c r="A147" s="44" t="str">
        <x:v>R05-11</x:v>
      </x:c>
      <x:c r="B147" s="45" t="str">
        <x:v>R05</x:v>
      </x:c>
      <x:c r="C147" s="34" t="str">
        <x:v>requirement-documents/05-test-cases/01-site-operations/tc-011-retrieval-unlock-timeout-lockout.md</x:v>
      </x:c>
      <x:c r="D147" s="49" t="str">
        <x:v>ee2c476250eb85351009604b60bde49704a08103b0c598bb9be30eecfc507afc</x:v>
      </x:c>
      <x:c r="E147" s="40" t="n">
        <x:v>822</x:v>
      </x:c>
      <x:c r="F147" s="34" t="str">
        <x:v>tracked-clean</x:v>
      </x:c>
      <x:c r="G147" s="34" t="str">
        <x:v>tracked-clean</x:v>
      </x:c>
      <x:c r="H147" s="34" t="str">
        <x:v>candidate-acceptance</x:v>
      </x:c>
      <x:c r="I147" s="34" t="str">
        <x:v>R05-C1</x:v>
      </x:c>
      <x:c r="J147" s="34" t="str">
        <x:v>unapproved-acceptance-draft-derived-from-draft-FR-AC</x:v>
      </x:c>
      <x:c r="K147" s="34" t="str">
        <x:v>原仓位重放成功; C1; not executed</x:v>
      </x:c>
      <x:c r="L147" s="34" t="str">
        <x:v>`ee2c476250eb` / H1; derived object: FR-006 AC-3</x:v>
      </x:c>
      <x:c r="M147" s="52" t="str">
        <x:v>not-found</x:v>
      </x:c>
      <x:c r="N147" s="52" t="str">
        <x:v>not-found</x:v>
      </x:c>
      <x:c r="O147" s="52" t="str">
        <x:v>not-found</x:v>
      </x:c>
      <x:c r="P147" s="52" t="str">
        <x:v>not-found</x:v>
      </x:c>
      <x:c r="Q147" s="55" t="str">
        <x:v>not-approved-by-this-classification</x:v>
      </x:c>
      <x:c r="R147" s="34" t="str">
        <x:v>candidate-only-after-scenario-level-evidence-review-and-explicit-approval</x:v>
      </x:c>
      <x:c r="S147" s="34" t="str">
        <x:v>FR-006 AC-3; C1; detailed record: R05-site-operation-acceptance-scenarios.md line 61; execution evidence remains separate</x:v>
      </x:c>
      <x:c r="T147" s="35" t="str">
        <x:v>R05-site-operation-acceptance-scenarios.md:61</x:v>
      </x:c>
    </x:row>
    <x:row r="148" ht="48" customHeight="1">
      <x:c r="A148" s="44" t="str">
        <x:v>R05-12</x:v>
      </x:c>
      <x:c r="B148" s="45" t="str">
        <x:v>R05</x:v>
      </x:c>
      <x:c r="C148" s="34" t="str">
        <x:v>requirement-documents/05-test-cases/01-site-operations/tc-012-retrieval-slot-unexpectedly-empty-lockout.md</x:v>
      </x:c>
      <x:c r="D148" s="49" t="str">
        <x:v>f03c832d56388bce35780aa63c3108450d6107d81a2f0e2b0df923c4c7adcee6</x:v>
      </x:c>
      <x:c r="E148" s="40" t="n">
        <x:v>767</x:v>
      </x:c>
      <x:c r="F148" s="34" t="str">
        <x:v>tracked-clean</x:v>
      </x:c>
      <x:c r="G148" s="34" t="str">
        <x:v>tracked-clean</x:v>
      </x:c>
      <x:c r="H148" s="34" t="str">
        <x:v>candidate-acceptance</x:v>
      </x:c>
      <x:c r="I148" s="34" t="str">
        <x:v>R05-C1</x:v>
      </x:c>
      <x:c r="J148" s="34" t="str">
        <x:v>unapproved-acceptance-draft-derived-from-draft-FR-AC</x:v>
      </x:c>
      <x:c r="K148" s="34" t="str">
        <x:v>正确产品不可得进入待重放; C1; not executed</x:v>
      </x:c>
      <x:c r="L148" s="34" t="str">
        <x:v>`f03c832d5638` / H1; derived object: FR-006 AC-4</x:v>
      </x:c>
      <x:c r="M148" s="52" t="str">
        <x:v>not-found</x:v>
      </x:c>
      <x:c r="N148" s="52" t="str">
        <x:v>not-found</x:v>
      </x:c>
      <x:c r="O148" s="52" t="str">
        <x:v>not-found</x:v>
      </x:c>
      <x:c r="P148" s="52" t="str">
        <x:v>not-found</x:v>
      </x:c>
      <x:c r="Q148" s="55" t="str">
        <x:v>not-approved-by-this-classification</x:v>
      </x:c>
      <x:c r="R148" s="34" t="str">
        <x:v>candidate-only-after-scenario-level-evidence-review-and-explicit-approval</x:v>
      </x:c>
      <x:c r="S148" s="34" t="str">
        <x:v>FR-006 AC-4; C1; detailed record: R05-site-operation-acceptance-scenarios.md line 62; execution evidence remains separate</x:v>
      </x:c>
      <x:c r="T148" s="35" t="str">
        <x:v>R05-site-operation-acceptance-scenarios.md:62</x:v>
      </x:c>
    </x:row>
    <x:row r="149" ht="48" customHeight="1">
      <x:c r="A149" s="44" t="str">
        <x:v>R05-13</x:v>
      </x:c>
      <x:c r="B149" s="45" t="str">
        <x:v>R05</x:v>
      </x:c>
      <x:c r="C149" s="34" t="str">
        <x:v>requirement-documents/05-test-cases/01-site-operations/tc-013-retrieval-close-curtain-clear-rollback.md</x:v>
      </x:c>
      <x:c r="D149" s="49" t="str">
        <x:v>acff6c618e6956d9ee2b498f5499482d6846cd1e6dcf6bc6ec5b12d50fa36a59</x:v>
      </x:c>
      <x:c r="E149" s="40" t="n">
        <x:v>684</x:v>
      </x:c>
      <x:c r="F149" s="34" t="str">
        <x:v>tracked-clean</x:v>
      </x:c>
      <x:c r="G149" s="34" t="str">
        <x:v>tracked-clean</x:v>
      </x:c>
      <x:c r="H149" s="34" t="str">
        <x:v>candidate-acceptance</x:v>
      </x:c>
      <x:c r="I149" s="34" t="str">
        <x:v>R05-C1</x:v>
      </x:c>
      <x:c r="J149" s="34" t="str">
        <x:v>unapproved-acceptance-draft-derived-from-draft-FR-AC</x:v>
      </x:c>
      <x:c r="K149" s="34" t="str">
        <x:v>待重放只允许继续或取消; C1; not executed</x:v>
      </x:c>
      <x:c r="L149" s="34" t="str">
        <x:v>`acff6c618e69` / H1; derived object: FR-006 AC-5</x:v>
      </x:c>
      <x:c r="M149" s="52" t="str">
        <x:v>not-found</x:v>
      </x:c>
      <x:c r="N149" s="52" t="str">
        <x:v>not-found</x:v>
      </x:c>
      <x:c r="O149" s="52" t="str">
        <x:v>not-found</x:v>
      </x:c>
      <x:c r="P149" s="52" t="str">
        <x:v>not-found</x:v>
      </x:c>
      <x:c r="Q149" s="55" t="str">
        <x:v>not-approved-by-this-classification</x:v>
      </x:c>
      <x:c r="R149" s="34" t="str">
        <x:v>candidate-only-after-scenario-level-evidence-review-and-explicit-approval</x:v>
      </x:c>
      <x:c r="S149" s="34" t="str">
        <x:v>FR-006 AC-5; C1; detailed record: R05-site-operation-acceptance-scenarios.md line 63; execution evidence remains separate</x:v>
      </x:c>
      <x:c r="T149" s="35" t="str">
        <x:v>R05-site-operation-acceptance-scenarios.md:63</x:v>
      </x:c>
    </x:row>
    <x:row r="150" ht="48" customHeight="1">
      <x:c r="A150" s="44" t="str">
        <x:v>R05-14</x:v>
      </x:c>
      <x:c r="B150" s="45" t="str">
        <x:v>R05</x:v>
      </x:c>
      <x:c r="C150" s="34" t="str">
        <x:v>requirement-documents/05-test-cases/01-site-operations/tc-014-retrieval-residue-reopen-required.md</x:v>
      </x:c>
      <x:c r="D150" s="49" t="str">
        <x:v>2d9ea5f8c08b55de1027bcabd2df7927bd1a3864f0c77c3f4283ecf7bbd7f6ad</x:v>
      </x:c>
      <x:c r="E150" s="40" t="n">
        <x:v>778</x:v>
      </x:c>
      <x:c r="F150" s="34" t="str">
        <x:v>tracked-clean</x:v>
      </x:c>
      <x:c r="G150" s="34" t="str">
        <x:v>tracked-clean</x:v>
      </x:c>
      <x:c r="H150" s="34" t="str">
        <x:v>candidate-acceptance</x:v>
      </x:c>
      <x:c r="I150" s="34" t="str">
        <x:v>R05-C1</x:v>
      </x:c>
      <x:c r="J150" s="34" t="str">
        <x:v>unapproved-acceptance-draft-derived-from-draft-FR-AC</x:v>
      </x:c>
      <x:c r="K150" s="34" t="str">
        <x:v>纠错目标态不符自动弹锁; C1; not executed</x:v>
      </x:c>
      <x:c r="L150" s="34" t="str">
        <x:v>`2d9ea5f8c08b` / H1; derived object: FR-006 AC-6</x:v>
      </x:c>
      <x:c r="M150" s="52" t="str">
        <x:v>not-found</x:v>
      </x:c>
      <x:c r="N150" s="52" t="str">
        <x:v>not-found</x:v>
      </x:c>
      <x:c r="O150" s="52" t="str">
        <x:v>not-found</x:v>
      </x:c>
      <x:c r="P150" s="52" t="str">
        <x:v>not-found</x:v>
      </x:c>
      <x:c r="Q150" s="55" t="str">
        <x:v>not-approved-by-this-classification</x:v>
      </x:c>
      <x:c r="R150" s="34" t="str">
        <x:v>candidate-only-after-scenario-level-evidence-review-and-explicit-approval</x:v>
      </x:c>
      <x:c r="S150" s="34" t="str">
        <x:v>FR-006 AC-6; C1; detailed record: R05-site-operation-acceptance-scenarios.md line 64; execution evidence remains separate</x:v>
      </x:c>
      <x:c r="T150" s="35" t="str">
        <x:v>R05-site-operation-acceptance-scenarios.md:64</x:v>
      </x:c>
    </x:row>
    <x:row r="151" ht="48" customHeight="1">
      <x:c r="A151" s="44" t="str">
        <x:v>R05-15</x:v>
      </x:c>
      <x:c r="B151" s="45" t="str">
        <x:v>R05</x:v>
      </x:c>
      <x:c r="C151" s="34" t="str">
        <x:v>requirement-documents/05-test-cases/01-site-operations/tc-015-cancel-eligible-success.md</x:v>
      </x:c>
      <x:c r="D151" s="49" t="str">
        <x:v>6a7644844a0958e69e7ca49ef08226b3c35bee6c015b280317142482bbd5de41</x:v>
      </x:c>
      <x:c r="E151" s="40" t="n">
        <x:v>775</x:v>
      </x:c>
      <x:c r="F151" s="34" t="str">
        <x:v>tracked-clean</x:v>
      </x:c>
      <x:c r="G151" s="34" t="str">
        <x:v>tracked-clean</x:v>
      </x:c>
      <x:c r="H151" s="34" t="str">
        <x:v>candidate-acceptance</x:v>
      </x:c>
      <x:c r="I151" s="34" t="str">
        <x:v>R05-C1</x:v>
      </x:c>
      <x:c r="J151" s="34" t="str">
        <x:v>unapproved-acceptance-draft-derived-from-draft-FR-AC</x:v>
      </x:c>
      <x:c r="K151" s="34" t="str">
        <x:v>未装货任务直接取消; C1; not executed</x:v>
      </x:c>
      <x:c r="L151" s="34" t="str">
        <x:v>`6a7644844a09` / H1; derived object: FR-007 AC-1</x:v>
      </x:c>
      <x:c r="M151" s="52" t="str">
        <x:v>not-found</x:v>
      </x:c>
      <x:c r="N151" s="52" t="str">
        <x:v>not-found</x:v>
      </x:c>
      <x:c r="O151" s="52" t="str">
        <x:v>not-found</x:v>
      </x:c>
      <x:c r="P151" s="52" t="str">
        <x:v>not-found</x:v>
      </x:c>
      <x:c r="Q151" s="55" t="str">
        <x:v>not-approved-by-this-classification</x:v>
      </x:c>
      <x:c r="R151" s="34" t="str">
        <x:v>candidate-only-after-scenario-level-evidence-review-and-explicit-approval</x:v>
      </x:c>
      <x:c r="S151" s="34" t="str">
        <x:v>FR-007 AC-1; C1; detailed record: R05-site-operation-acceptance-scenarios.md line 65; execution evidence remains separate</x:v>
      </x:c>
      <x:c r="T151" s="35" t="str">
        <x:v>R05-site-operation-acceptance-scenarios.md:65</x:v>
      </x:c>
    </x:row>
    <x:row r="152" ht="48" customHeight="1">
      <x:c r="A152" s="44" t="str">
        <x:v>R05-16</x:v>
      </x:c>
      <x:c r="B152" s="45" t="str">
        <x:v>R05</x:v>
      </x:c>
      <x:c r="C152" s="34" t="str">
        <x:v>requirement-documents/05-test-cases/01-site-operations/tc-016-cancel-invalid-state-reject.md</x:v>
      </x:c>
      <x:c r="D152" s="49" t="str">
        <x:v>43232ddeb6683dad87eab7adcd63937ca64841bc91e22b8d165217064cfd2974</x:v>
      </x:c>
      <x:c r="E152" s="40" t="n">
        <x:v>705</x:v>
      </x:c>
      <x:c r="F152" s="34" t="str">
        <x:v>tracked-clean</x:v>
      </x:c>
      <x:c r="G152" s="34" t="str">
        <x:v>tracked-clean</x:v>
      </x:c>
      <x:c r="H152" s="34" t="str">
        <x:v>candidate-acceptance</x:v>
      </x:c>
      <x:c r="I152" s="34" t="str">
        <x:v>R05-C1</x:v>
      </x:c>
      <x:c r="J152" s="34" t="str">
        <x:v>unapproved-acceptance-draft-derived-from-draft-FR-AC</x:v>
      </x:c>
      <x:c r="K152" s="34" t="str">
        <x:v>离站或非法状态拒绝取消; C1; not executed</x:v>
      </x:c>
      <x:c r="L152" s="34" t="str">
        <x:v>`43232ddeb668` / H1; derived object: FR-007 AC-9</x:v>
      </x:c>
      <x:c r="M152" s="52" t="str">
        <x:v>not-found</x:v>
      </x:c>
      <x:c r="N152" s="52" t="str">
        <x:v>not-found</x:v>
      </x:c>
      <x:c r="O152" s="52" t="str">
        <x:v>not-found</x:v>
      </x:c>
      <x:c r="P152" s="52" t="str">
        <x:v>not-found</x:v>
      </x:c>
      <x:c r="Q152" s="55" t="str">
        <x:v>not-approved-by-this-classification</x:v>
      </x:c>
      <x:c r="R152" s="34" t="str">
        <x:v>candidate-only-after-scenario-level-evidence-review-and-explicit-approval</x:v>
      </x:c>
      <x:c r="S152" s="34" t="str">
        <x:v>FR-007 AC-9; C1; detailed record: R05-site-operation-acceptance-scenarios.md line 66; execution evidence remains separate</x:v>
      </x:c>
      <x:c r="T152" s="35" t="str">
        <x:v>R05-site-operation-acceptance-scenarios.md:66</x:v>
      </x:c>
    </x:row>
    <x:row r="153" ht="48" customHeight="1">
      <x:c r="A153" s="44" t="str">
        <x:v>R05-17</x:v>
      </x:c>
      <x:c r="B153" s="45" t="str">
        <x:v>R05</x:v>
      </x:c>
      <x:c r="C153" s="34" t="str">
        <x:v>requirement-documents/05-test-cases/01-site-operations/tc-017-cancel-loaded-batch-clear-success.md</x:v>
      </x:c>
      <x:c r="D153" s="49" t="str">
        <x:v>e56b7e9021c9bb277a0fbe6039e00611236d1e4bd56be13f4e8ac9c336420d0f</x:v>
      </x:c>
      <x:c r="E153" s="40" t="n">
        <x:v>860</x:v>
      </x:c>
      <x:c r="F153" s="34" t="str">
        <x:v>tracked-clean</x:v>
      </x:c>
      <x:c r="G153" s="34" t="str">
        <x:v>tracked-clean</x:v>
      </x:c>
      <x:c r="H153" s="34" t="str">
        <x:v>candidate-acceptance</x:v>
      </x:c>
      <x:c r="I153" s="34" t="str">
        <x:v>R05-C2</x:v>
      </x:c>
      <x:c r="J153" s="34" t="str">
        <x:v>unapproved-acceptance-draft-mixing-FR-AC-with-internal-design</x:v>
      </x:c>
      <x:c r="K153" s="34" t="str">
        <x:v>已装货批量清空后取消; C2; not executed</x:v>
      </x:c>
      <x:c r="L153" s="34" t="str">
        <x:v>`e56b7e9021c9` / H2; derived object: FR-007 AC-2/3</x:v>
      </x:c>
      <x:c r="M153" s="52" t="str">
        <x:v>not-found</x:v>
      </x:c>
      <x:c r="N153" s="52" t="str">
        <x:v>not-found</x:v>
      </x:c>
      <x:c r="O153" s="52" t="str">
        <x:v>not-found</x:v>
      </x:c>
      <x:c r="P153" s="52" t="str">
        <x:v>not-found</x:v>
      </x:c>
      <x:c r="Q153" s="55" t="str">
        <x:v>not-approved-by-this-classification</x:v>
      </x:c>
      <x:c r="R153" s="34" t="str">
        <x:v>split-business-acceptance-from-design-interface-and-safety-claims-before-explicit-approval</x:v>
      </x:c>
      <x:c r="S153" s="34" t="str">
        <x:v>FR-007 AC-2/3; C2; detailed record: R05-site-operation-acceptance-scenarios.md line 67; execution evidence remains separate</x:v>
      </x:c>
      <x:c r="T153" s="35" t="str">
        <x:v>R05-site-operation-acceptance-scenarios.md:67</x:v>
      </x:c>
    </x:row>
    <x:row r="154" ht="48" customHeight="1">
      <x:c r="A154" s="44" t="str">
        <x:v>R05-18</x:v>
      </x:c>
      <x:c r="B154" s="45" t="str">
        <x:v>R05</x:v>
      </x:c>
      <x:c r="C154" s="34" t="str">
        <x:v>requirement-documents/05-test-cases/01-site-operations/tc-018-destination-auto-identify-list.md</x:v>
      </x:c>
      <x:c r="D154" s="49" t="str">
        <x:v>10549ebed0e992c092953855bb3e4f2f87e7608b4401ce70a3047679c5ae03cf</x:v>
      </x:c>
      <x:c r="E154" s="40" t="n">
        <x:v>725</x:v>
      </x:c>
      <x:c r="F154" s="34" t="str">
        <x:v>tracked-clean</x:v>
      </x:c>
      <x:c r="G154" s="34" t="str">
        <x:v>tracked-clean</x:v>
      </x:c>
      <x:c r="H154" s="34" t="str">
        <x:v>candidate-acceptance</x:v>
      </x:c>
      <x:c r="I154" s="34" t="str">
        <x:v>R05-C1</x:v>
      </x:c>
      <x:c r="J154" s="34" t="str">
        <x:v>unapproved-acceptance-draft-derived-from-draft-FR-AC</x:v>
      </x:c>
      <x:c r="K154" s="34" t="str">
        <x:v>自动识别待取料清单; C1; not executed</x:v>
      </x:c>
      <x:c r="L154" s="34" t="str">
        <x:v>`10549ebed0e9` / H3; derived object: FR-008 AC-1</x:v>
      </x:c>
      <x:c r="M154" s="52" t="str">
        <x:v>not-found</x:v>
      </x:c>
      <x:c r="N154" s="52" t="str">
        <x:v>not-found</x:v>
      </x:c>
      <x:c r="O154" s="52" t="str">
        <x:v>not-found</x:v>
      </x:c>
      <x:c r="P154" s="52" t="str">
        <x:v>not-found</x:v>
      </x:c>
      <x:c r="Q154" s="55" t="str">
        <x:v>not-approved-by-this-classification</x:v>
      </x:c>
      <x:c r="R154" s="34" t="str">
        <x:v>candidate-only-after-scenario-level-evidence-review-and-explicit-approval</x:v>
      </x:c>
      <x:c r="S154" s="34" t="str">
        <x:v>FR-008 AC-1; C1; detailed record: R05-site-operation-acceptance-scenarios.md line 68; execution evidence remains separate</x:v>
      </x:c>
      <x:c r="T154" s="35" t="str">
        <x:v>R05-site-operation-acceptance-scenarios.md:68</x:v>
      </x:c>
    </x:row>
    <x:row r="155" ht="48" customHeight="1">
      <x:c r="A155" s="44" t="str">
        <x:v>R05-19</x:v>
      </x:c>
      <x:c r="B155" s="45" t="str">
        <x:v>R05</x:v>
      </x:c>
      <x:c r="C155" s="34" t="str">
        <x:v>requirement-documents/05-test-cases/01-site-operations/tc-019-destination-move-interlock-block.md</x:v>
      </x:c>
      <x:c r="D155" s="49" t="str">
        <x:v>2e695347ebe60e9291c63502e665f90a33f8451e39d68ae0fddc70a49fd4c0d4</x:v>
      </x:c>
      <x:c r="E155" s="40" t="n">
        <x:v>676</x:v>
      </x:c>
      <x:c r="F155" s="34" t="str">
        <x:v>tracked-clean</x:v>
      </x:c>
      <x:c r="G155" s="34" t="str">
        <x:v>tracked-clean</x:v>
      </x:c>
      <x:c r="H155" s="34" t="str">
        <x:v>candidate-acceptance</x:v>
      </x:c>
      <x:c r="I155" s="34" t="str">
        <x:v>R05-C1</x:v>
      </x:c>
      <x:c r="J155" s="34" t="str">
        <x:v>unapproved-acceptance-draft-derived-from-draft-FR-AC</x:v>
      </x:c>
      <x:c r="K155" s="34" t="str">
        <x:v>移动联锁拒绝卸货开锁; C1; not executed</x:v>
      </x:c>
      <x:c r="L155" s="34" t="str">
        <x:v>`2e695347ebe6` / H3; derived object: FR-008 AC-2</x:v>
      </x:c>
      <x:c r="M155" s="52" t="str">
        <x:v>not-found</x:v>
      </x:c>
      <x:c r="N155" s="52" t="str">
        <x:v>not-found</x:v>
      </x:c>
      <x:c r="O155" s="52" t="str">
        <x:v>not-found</x:v>
      </x:c>
      <x:c r="P155" s="52" t="str">
        <x:v>not-found</x:v>
      </x:c>
      <x:c r="Q155" s="55" t="str">
        <x:v>not-approved-by-this-classification</x:v>
      </x:c>
      <x:c r="R155" s="34" t="str">
        <x:v>candidate-only-after-scenario-level-evidence-review-and-explicit-approval</x:v>
      </x:c>
      <x:c r="S155" s="34" t="str">
        <x:v>FR-008 AC-2; C1; detailed record: R05-site-operation-acceptance-scenarios.md line 69; execution evidence remains separate</x:v>
      </x:c>
      <x:c r="T155" s="35" t="str">
        <x:v>R05-site-operation-acceptance-scenarios.md:69</x:v>
      </x:c>
    </x:row>
    <x:row r="156" ht="48" customHeight="1">
      <x:c r="A156" s="44" t="str">
        <x:v>R05-20</x:v>
      </x:c>
      <x:c r="B156" s="45" t="str">
        <x:v>R05</x:v>
      </x:c>
      <x:c r="C156" s="34" t="str">
        <x:v>requirement-documents/05-test-cases/01-site-operations/tc-020-destination-batch-unlock-success.md</x:v>
      </x:c>
      <x:c r="D156" s="49" t="str">
        <x:v>c3835a32b2db370587873bb6b4720b054a98bb7a40757dfa21df4d0b72f89550</x:v>
      </x:c>
      <x:c r="E156" s="40" t="n">
        <x:v>963</x:v>
      </x:c>
      <x:c r="F156" s="34" t="str">
        <x:v>tracked-clean</x:v>
      </x:c>
      <x:c r="G156" s="34" t="str">
        <x:v>tracked-clean</x:v>
      </x:c>
      <x:c r="H156" s="34" t="str">
        <x:v>candidate-acceptance</x:v>
      </x:c>
      <x:c r="I156" s="34" t="str">
        <x:v>R05-C2</x:v>
      </x:c>
      <x:c r="J156" s="34" t="str">
        <x:v>unapproved-acceptance-draft-mixing-FR-AC-with-internal-design</x:v>
      </x:c>
      <x:c r="K156" s="34" t="str">
        <x:v>Modbus 分组批量开锁成功; C2; not executed</x:v>
      </x:c>
      <x:c r="L156" s="34" t="str">
        <x:v>`c3835a32b2db` / H1; derived object: FR-008 AC-3/6</x:v>
      </x:c>
      <x:c r="M156" s="52" t="str">
        <x:v>not-found</x:v>
      </x:c>
      <x:c r="N156" s="52" t="str">
        <x:v>not-found</x:v>
      </x:c>
      <x:c r="O156" s="52" t="str">
        <x:v>not-found</x:v>
      </x:c>
      <x:c r="P156" s="52" t="str">
        <x:v>not-found</x:v>
      </x:c>
      <x:c r="Q156" s="55" t="str">
        <x:v>not-approved-by-this-classification</x:v>
      </x:c>
      <x:c r="R156" s="34" t="str">
        <x:v>split-business-acceptance-from-design-interface-and-safety-claims-before-explicit-approval</x:v>
      </x:c>
      <x:c r="S156" s="34" t="str">
        <x:v>FR-008 AC-3/6; C2; detailed record: R05-site-operation-acceptance-scenarios.md line 70; execution evidence remains separate</x:v>
      </x:c>
      <x:c r="T156" s="35" t="str">
        <x:v>R05-site-operation-acceptance-scenarios.md:70</x:v>
      </x:c>
    </x:row>
    <x:row r="157" ht="48" customHeight="1">
      <x:c r="A157" s="44" t="str">
        <x:v>R05-21</x:v>
      </x:c>
      <x:c r="B157" s="45" t="str">
        <x:v>R05</x:v>
      </x:c>
      <x:c r="C157" s="34" t="str">
        <x:v>requirement-documents/05-test-cases/01-site-operations/tc-021-destination-unlock-timeout-lockout.md</x:v>
      </x:c>
      <x:c r="D157" s="49" t="str">
        <x:v>68d42ff1ecb2d4a852dd85ff81cca0b2b034bce8b03e47fb07f0d256abcc49c1</x:v>
      </x:c>
      <x:c r="E157" s="40" t="n">
        <x:v>1027</x:v>
      </x:c>
      <x:c r="F157" s="34" t="str">
        <x:v>tracked-clean</x:v>
      </x:c>
      <x:c r="G157" s="34" t="str">
        <x:v>tracked-clean</x:v>
      </x:c>
      <x:c r="H157" s="34" t="str">
        <x:v>candidate-acceptance</x:v>
      </x:c>
      <x:c r="I157" s="34" t="str">
        <x:v>R05-C2</x:v>
      </x:c>
      <x:c r="J157" s="34" t="str">
        <x:v>unapproved-acceptance-draft-mixing-FR-AC-with-internal-design</x:v>
      </x:c>
      <x:c r="K157" s="34" t="str">
        <x:v>多模块部分成功/未知恢复; C2; not executed</x:v>
      </x:c>
      <x:c r="L157" s="34" t="str">
        <x:v>`68d42ff1ecb2` / H1; derived object: FR-008 AC-4/6</x:v>
      </x:c>
      <x:c r="M157" s="52" t="str">
        <x:v>not-found</x:v>
      </x:c>
      <x:c r="N157" s="52" t="str">
        <x:v>not-found</x:v>
      </x:c>
      <x:c r="O157" s="52" t="str">
        <x:v>not-found</x:v>
      </x:c>
      <x:c r="P157" s="52" t="str">
        <x:v>not-found</x:v>
      </x:c>
      <x:c r="Q157" s="55" t="str">
        <x:v>not-approved-by-this-classification</x:v>
      </x:c>
      <x:c r="R157" s="34" t="str">
        <x:v>split-business-acceptance-from-design-interface-and-safety-claims-before-explicit-approval</x:v>
      </x:c>
      <x:c r="S157" s="34" t="str">
        <x:v>FR-008 AC-4/6; C2; detailed record: R05-site-operation-acceptance-scenarios.md line 71; execution evidence remains separate</x:v>
      </x:c>
      <x:c r="T157" s="35" t="str">
        <x:v>R05-site-operation-acceptance-scenarios.md:71</x:v>
      </x:c>
    </x:row>
    <x:row r="158" ht="48" customHeight="1">
      <x:c r="A158" s="44" t="str">
        <x:v>R05-22</x:v>
      </x:c>
      <x:c r="B158" s="45" t="str">
        <x:v>R05</x:v>
      </x:c>
      <x:c r="C158" s="34" t="str">
        <x:v>requirement-documents/05-test-cases/01-site-operations/tc-022-destination-content-mismatch-lockout.md</x:v>
      </x:c>
      <x:c r="D158" s="49" t="str">
        <x:v>e2a2cc9090372f7ef78f56e2691db7b69233fd43789b1be88ff5f813afed5a48</x:v>
      </x:c>
      <x:c r="E158" s="40" t="n">
        <x:v>807</x:v>
      </x:c>
      <x:c r="F158" s="34" t="str">
        <x:v>tracked-clean</x:v>
      </x:c>
      <x:c r="G158" s="34" t="str">
        <x:v>tracked-clean</x:v>
      </x:c>
      <x:c r="H158" s="34" t="str">
        <x:v>candidate-acceptance</x:v>
      </x:c>
      <x:c r="I158" s="34" t="str">
        <x:v>R05-C1</x:v>
      </x:c>
      <x:c r="J158" s="34" t="str">
        <x:v>unapproved-acceptance-draft-derived-from-draft-FR-AC</x:v>
      </x:c>
      <x:c r="K158" s="34" t="str">
        <x:v>实物不符异常锁定; C1; not executed</x:v>
      </x:c>
      <x:c r="L158" s="34" t="str">
        <x:v>`e2a2cc909037` / H3; derived object: FR-008 AC-5</x:v>
      </x:c>
      <x:c r="M158" s="52" t="str">
        <x:v>not-found</x:v>
      </x:c>
      <x:c r="N158" s="52" t="str">
        <x:v>not-found</x:v>
      </x:c>
      <x:c r="O158" s="52" t="str">
        <x:v>not-found</x:v>
      </x:c>
      <x:c r="P158" s="52" t="str">
        <x:v>not-found</x:v>
      </x:c>
      <x:c r="Q158" s="55" t="str">
        <x:v>not-approved-by-this-classification</x:v>
      </x:c>
      <x:c r="R158" s="34" t="str">
        <x:v>candidate-only-after-scenario-level-evidence-review-and-explicit-approval</x:v>
      </x:c>
      <x:c r="S158" s="34" t="str">
        <x:v>FR-008 AC-5; C1; detailed record: R05-site-operation-acceptance-scenarios.md line 72; execution evidence remains separate</x:v>
      </x:c>
      <x:c r="T158" s="35" t="str">
        <x:v>R05-site-operation-acceptance-scenarios.md:72</x:v>
      </x:c>
    </x:row>
    <x:row r="159" ht="48" customHeight="1">
      <x:c r="A159" s="44" t="str">
        <x:v>R05-23</x:v>
      </x:c>
      <x:c r="B159" s="45" t="str">
        <x:v>R05</x:v>
      </x:c>
      <x:c r="C159" s="34" t="str">
        <x:v>requirement-documents/05-test-cases/01-site-operations/tc-023-destination-close-curtain-clear-rollback.md</x:v>
      </x:c>
      <x:c r="D159" s="49" t="str">
        <x:v>73f098ac22ce03ab279d7280f5d18fd42ea65ae36d00c9f13f402a80be133500</x:v>
      </x:c>
      <x:c r="E159" s="40" t="n">
        <x:v>854</x:v>
      </x:c>
      <x:c r="F159" s="34" t="str">
        <x:v>tracked-clean</x:v>
      </x:c>
      <x:c r="G159" s="34" t="str">
        <x:v>tracked-clean</x:v>
      </x:c>
      <x:c r="H159" s="34" t="str">
        <x:v>candidate-acceptance</x:v>
      </x:c>
      <x:c r="I159" s="34" t="str">
        <x:v>R05-C1</x:v>
      </x:c>
      <x:c r="J159" s="34" t="str">
        <x:v>unapproved-acceptance-draft-derived-from-draft-FR-AC</x:v>
      </x:c>
      <x:c r="K159" s="34" t="str">
        <x:v>卸货清空后回滚占用并记录; C1; not executed</x:v>
      </x:c>
      <x:c r="L159" s="34" t="str">
        <x:v>`73f098ac22ce` / H1; derived object: FR-009 AC-1</x:v>
      </x:c>
      <x:c r="M159" s="52" t="str">
        <x:v>not-found</x:v>
      </x:c>
      <x:c r="N159" s="52" t="str">
        <x:v>not-found</x:v>
      </x:c>
      <x:c r="O159" s="52" t="str">
        <x:v>not-found</x:v>
      </x:c>
      <x:c r="P159" s="52" t="str">
        <x:v>not-found</x:v>
      </x:c>
      <x:c r="Q159" s="55" t="str">
        <x:v>not-approved-by-this-classification</x:v>
      </x:c>
      <x:c r="R159" s="34" t="str">
        <x:v>candidate-only-after-scenario-level-evidence-review-and-explicit-approval</x:v>
      </x:c>
      <x:c r="S159" s="34" t="str">
        <x:v>FR-009 AC-1; C1; detailed record: R05-site-operation-acceptance-scenarios.md line 73; execution evidence remains separate</x:v>
      </x:c>
      <x:c r="T159" s="35" t="str">
        <x:v>R05-site-operation-acceptance-scenarios.md:73</x:v>
      </x:c>
    </x:row>
    <x:row r="160" ht="48" customHeight="1">
      <x:c r="A160" s="44" t="str">
        <x:v>R05-24</x:v>
      </x:c>
      <x:c r="B160" s="45" t="str">
        <x:v>R05</x:v>
      </x:c>
      <x:c r="C160" s="34" t="str">
        <x:v>requirement-documents/05-test-cases/01-site-operations/tc-024-destination-residue-escalate-to-uc044.md</x:v>
      </x:c>
      <x:c r="D160" s="49" t="str">
        <x:v>199b20aca02a345d08d8c3b0942572af84ba32327932899726f2c887d745aac9</x:v>
      </x:c>
      <x:c r="E160" s="40" t="n">
        <x:v>858</x:v>
      </x:c>
      <x:c r="F160" s="34" t="str">
        <x:v>tracked-clean</x:v>
      </x:c>
      <x:c r="G160" s="34" t="str">
        <x:v>tracked-clean</x:v>
      </x:c>
      <x:c r="H160" s="34" t="str">
        <x:v>candidate-acceptance</x:v>
      </x:c>
      <x:c r="I160" s="34" t="str">
        <x:v>R05-C1</x:v>
      </x:c>
      <x:c r="J160" s="34" t="str">
        <x:v>unapproved-acceptance-draft-derived-from-draft-FR-AC</x:v>
      </x:c>
      <x:c r="K160" s="34" t="str">
        <x:v>残留转 UC-044; C1; not executed</x:v>
      </x:c>
      <x:c r="L160" s="34" t="str">
        <x:v>`199b20aca02a` / H3; derived object: FR-009 AC-2</x:v>
      </x:c>
      <x:c r="M160" s="52" t="str">
        <x:v>not-found</x:v>
      </x:c>
      <x:c r="N160" s="52" t="str">
        <x:v>not-found</x:v>
      </x:c>
      <x:c r="O160" s="52" t="str">
        <x:v>not-found</x:v>
      </x:c>
      <x:c r="P160" s="52" t="str">
        <x:v>not-found</x:v>
      </x:c>
      <x:c r="Q160" s="55" t="str">
        <x:v>not-approved-by-this-classification</x:v>
      </x:c>
      <x:c r="R160" s="34" t="str">
        <x:v>candidate-only-after-scenario-level-evidence-review-and-explicit-approval</x:v>
      </x:c>
      <x:c r="S160" s="34" t="str">
        <x:v>FR-009 AC-2; C1; detailed record: R05-site-operation-acceptance-scenarios.md line 74; execution evidence remains separate</x:v>
      </x:c>
      <x:c r="T160" s="35" t="str">
        <x:v>R05-site-operation-acceptance-scenarios.md:74</x:v>
      </x:c>
    </x:row>
    <x:row r="161" ht="48" customHeight="1">
      <x:c r="A161" s="44" t="str">
        <x:v>R05-25</x:v>
      </x:c>
      <x:c r="B161" s="45" t="str">
        <x:v>R05</x:v>
      </x:c>
      <x:c r="C161" s="34" t="str">
        <x:v>requirement-documents/05-test-cases/01-site-operations/tc-025-arrival-status-updated-to-arrived.md</x:v>
      </x:c>
      <x:c r="D161" s="49" t="str">
        <x:v>be6d02adac24b9d2348669ae4ec917bc914e490cff32062ef8e8c6b88178caca</x:v>
      </x:c>
      <x:c r="E161" s="40" t="n">
        <x:v>665</x:v>
      </x:c>
      <x:c r="F161" s="34" t="str">
        <x:v>tracked-clean</x:v>
      </x:c>
      <x:c r="G161" s="34" t="str">
        <x:v>tracked-clean</x:v>
      </x:c>
      <x:c r="H161" s="34" t="str">
        <x:v>candidate-acceptance</x:v>
      </x:c>
      <x:c r="I161" s="34" t="str">
        <x:v>R05-C1</x:v>
      </x:c>
      <x:c r="J161" s="34" t="str">
        <x:v>unapproved-acceptance-draft-derived-from-draft-FR-AC</x:v>
      </x:c>
      <x:c r="K161" s="34" t="str">
        <x:v>到站状态更新; C1; not executed</x:v>
      </x:c>
      <x:c r="L161" s="34" t="str">
        <x:v>`be6d02adac24` / H3; derived object: FR-010 AC-1</x:v>
      </x:c>
      <x:c r="M161" s="52" t="str">
        <x:v>not-found</x:v>
      </x:c>
      <x:c r="N161" s="52" t="str">
        <x:v>not-found</x:v>
      </x:c>
      <x:c r="O161" s="52" t="str">
        <x:v>not-found</x:v>
      </x:c>
      <x:c r="P161" s="52" t="str">
        <x:v>not-found</x:v>
      </x:c>
      <x:c r="Q161" s="55" t="str">
        <x:v>not-approved-by-this-classification</x:v>
      </x:c>
      <x:c r="R161" s="34" t="str">
        <x:v>candidate-only-after-scenario-level-evidence-review-and-explicit-approval</x:v>
      </x:c>
      <x:c r="S161" s="34" t="str">
        <x:v>FR-010 AC-1; C1; detailed record: R05-site-operation-acceptance-scenarios.md line 75; execution evidence remains separate</x:v>
      </x:c>
      <x:c r="T161" s="35" t="str">
        <x:v>R05-site-operation-acceptance-scenarios.md:75</x:v>
      </x:c>
    </x:row>
    <x:row r="162" ht="48" customHeight="1">
      <x:c r="A162" s="44" t="str">
        <x:v>R05-26</x:v>
      </x:c>
      <x:c r="B162" s="45" t="str">
        <x:v>R05</x:v>
      </x:c>
      <x:c r="C162" s="34" t="str">
        <x:v>requirement-documents/05-test-cases/01-site-operations/tc-026-operation-panel-auto-navigation.md</x:v>
      </x:c>
      <x:c r="D162" s="49" t="str">
        <x:v>9b96fd5968f6b16183b60a630e0efef1eb386a8ff7c16b57796a1846387efae2</x:v>
      </x:c>
      <x:c r="E162" s="40" t="n">
        <x:v>650</x:v>
      </x:c>
      <x:c r="F162" s="34" t="str">
        <x:v>tracked-clean</x:v>
      </x:c>
      <x:c r="G162" s="34" t="str">
        <x:v>tracked-clean</x:v>
      </x:c>
      <x:c r="H162" s="34" t="str">
        <x:v>candidate-acceptance</x:v>
      </x:c>
      <x:c r="I162" s="34" t="str">
        <x:v>R05-C1</x:v>
      </x:c>
      <x:c r="J162" s="34" t="str">
        <x:v>unapproved-acceptance-draft-derived-from-draft-FR-AC</x:v>
      </x:c>
      <x:c r="K162" s="34" t="str">
        <x:v>操作面板自动跳转; C1; not executed</x:v>
      </x:c>
      <x:c r="L162" s="34" t="str">
        <x:v>`9b96fd5968f6` / H3; derived object: FR-010 AC-2</x:v>
      </x:c>
      <x:c r="M162" s="52" t="str">
        <x:v>not-found</x:v>
      </x:c>
      <x:c r="N162" s="52" t="str">
        <x:v>not-found</x:v>
      </x:c>
      <x:c r="O162" s="52" t="str">
        <x:v>not-found</x:v>
      </x:c>
      <x:c r="P162" s="52" t="str">
        <x:v>not-found</x:v>
      </x:c>
      <x:c r="Q162" s="55" t="str">
        <x:v>not-approved-by-this-classification</x:v>
      </x:c>
      <x:c r="R162" s="34" t="str">
        <x:v>candidate-only-after-scenario-level-evidence-review-and-explicit-approval</x:v>
      </x:c>
      <x:c r="S162" s="34" t="str">
        <x:v>FR-010 AC-2; C1; detailed record: R05-site-operation-acceptance-scenarios.md line 76; execution evidence remains separate</x:v>
      </x:c>
      <x:c r="T162" s="35" t="str">
        <x:v>R05-site-operation-acceptance-scenarios.md:76</x:v>
      </x:c>
    </x:row>
    <x:row r="163" ht="48" customHeight="1">
      <x:c r="A163" s="44" t="str">
        <x:v>R05-27</x:v>
      </x:c>
      <x:c r="B163" s="45" t="str">
        <x:v>R05</x:v>
      </x:c>
      <x:c r="C163" s="34" t="str">
        <x:v>requirement-documents/05-test-cases/01-site-operations/tc-027-active-session-exists-reject-new-verification.md</x:v>
      </x:c>
      <x:c r="D163" s="49" t="str">
        <x:v>8df9224d5b27ad62c6303ea30e24e656c7e9a9b3569202b55c4ecb6046d0fff0</x:v>
      </x:c>
      <x:c r="E163" s="40" t="n">
        <x:v>742</x:v>
      </x:c>
      <x:c r="F163" s="34" t="str">
        <x:v>tracked-clean</x:v>
      </x:c>
      <x:c r="G163" s="34" t="str">
        <x:v>tracked-clean</x:v>
      </x:c>
      <x:c r="H163" s="34" t="str">
        <x:v>candidate-acceptance</x:v>
      </x:c>
      <x:c r="I163" s="34" t="str">
        <x:v>R05-C1</x:v>
      </x:c>
      <x:c r="J163" s="34" t="str">
        <x:v>unapproved-acceptance-draft-derived-from-draft-FR-AC</x:v>
      </x:c>
      <x:c r="K163" s="34" t="str">
        <x:v>活动 Sublot 拒绝换工号; C1; not executed</x:v>
      </x:c>
      <x:c r="L163" s="34" t="str">
        <x:v>`8df9224d5b27` / H1; derived object: FR-011 AC-3</x:v>
      </x:c>
      <x:c r="M163" s="52" t="str">
        <x:v>not-found</x:v>
      </x:c>
      <x:c r="N163" s="52" t="str">
        <x:v>not-found</x:v>
      </x:c>
      <x:c r="O163" s="52" t="str">
        <x:v>not-found</x:v>
      </x:c>
      <x:c r="P163" s="52" t="str">
        <x:v>not-found</x:v>
      </x:c>
      <x:c r="Q163" s="55" t="str">
        <x:v>not-approved-by-this-classification</x:v>
      </x:c>
      <x:c r="R163" s="34" t="str">
        <x:v>candidate-only-after-scenario-level-evidence-review-and-explicit-approval</x:v>
      </x:c>
      <x:c r="S163" s="34" t="str">
        <x:v>FR-011 AC-3; C1; detailed record: R05-site-operation-acceptance-scenarios.md line 77; execution evidence remains separate</x:v>
      </x:c>
      <x:c r="T163" s="35" t="str">
        <x:v>R05-site-operation-acceptance-scenarios.md:77</x:v>
      </x:c>
    </x:row>
    <x:row r="164" ht="48" customHeight="1">
      <x:c r="A164" s="44" t="str">
        <x:v>R05-28</x:v>
      </x:c>
      <x:c r="B164" s="45" t="str">
        <x:v>R05</x:v>
      </x:c>
      <x:c r="C164" s="34" t="str">
        <x:v>requirement-documents/05-test-cases/01-site-operations/tc-028-identity-and-role-verification-pass.md</x:v>
      </x:c>
      <x:c r="D164" s="49" t="str">
        <x:v>99e07265985a661c4d8567806059c1a74f58fc932d6cb5f282a07d774cf2e37e</x:v>
      </x:c>
      <x:c r="E164" s="40" t="n">
        <x:v>893</x:v>
      </x:c>
      <x:c r="F164" s="34" t="str">
        <x:v>tracked-clean</x:v>
      </x:c>
      <x:c r="G164" s="34" t="str">
        <x:v>tracked-clean</x:v>
      </x:c>
      <x:c r="H164" s="34" t="str">
        <x:v>candidate-acceptance</x:v>
      </x:c>
      <x:c r="I164" s="34" t="str">
        <x:v>R05-C1</x:v>
      </x:c>
      <x:c r="J164" s="34" t="str">
        <x:v>unapproved-acceptance-draft-derived-from-draft-FR-AC</x:v>
      </x:c>
      <x:c r="K164" s="34" t="str">
        <x:v>MES 身份/岗位核验通过; C1; not executed</x:v>
      </x:c>
      <x:c r="L164" s="34" t="str">
        <x:v>`99e07265985a` / H1; derived object: FR-011 AC-1</x:v>
      </x:c>
      <x:c r="M164" s="52" t="str">
        <x:v>not-found</x:v>
      </x:c>
      <x:c r="N164" s="52" t="str">
        <x:v>not-found</x:v>
      </x:c>
      <x:c r="O164" s="52" t="str">
        <x:v>not-found</x:v>
      </x:c>
      <x:c r="P164" s="52" t="str">
        <x:v>not-found</x:v>
      </x:c>
      <x:c r="Q164" s="55" t="str">
        <x:v>not-approved-by-this-classification</x:v>
      </x:c>
      <x:c r="R164" s="34" t="str">
        <x:v>candidate-only-after-scenario-level-evidence-review-and-explicit-approval</x:v>
      </x:c>
      <x:c r="S164" s="34" t="str">
        <x:v>FR-011 AC-1; C1; detailed record: R05-site-operation-acceptance-scenarios.md line 78; execution evidence remains separate</x:v>
      </x:c>
      <x:c r="T164" s="35" t="str">
        <x:v>R05-site-operation-acceptance-scenarios.md:78</x:v>
      </x:c>
    </x:row>
    <x:row r="165" ht="48" customHeight="1">
      <x:c r="A165" s="44" t="str">
        <x:v>R05-29</x:v>
      </x:c>
      <x:c r="B165" s="45" t="str">
        <x:v>R05</x:v>
      </x:c>
      <x:c r="C165" s="34" t="str">
        <x:v>requirement-documents/05-test-cases/01-site-operations/tc-029-identity-not-found-or-mes-error-reject.md</x:v>
      </x:c>
      <x:c r="D165" s="49" t="str">
        <x:v>20160d193e4e405ac7561015b228677c56c950f113630c54f5925b2f65ec269a</x:v>
      </x:c>
      <x:c r="E165" s="40" t="n">
        <x:v>774</x:v>
      </x:c>
      <x:c r="F165" s="34" t="str">
        <x:v>tracked-clean</x:v>
      </x:c>
      <x:c r="G165" s="34" t="str">
        <x:v>tracked-clean</x:v>
      </x:c>
      <x:c r="H165" s="34" t="str">
        <x:v>candidate-acceptance</x:v>
      </x:c>
      <x:c r="I165" s="34" t="str">
        <x:v>R05-C1</x:v>
      </x:c>
      <x:c r="J165" s="34" t="str">
        <x:v>unapproved-acceptance-draft-derived-from-draft-FR-AC</x:v>
      </x:c>
      <x:c r="K165" s="34" t="str">
        <x:v>身份、权限或 MES 异常拒绝; C1; not executed</x:v>
      </x:c>
      <x:c r="L165" s="34" t="str">
        <x:v>`20160d193e4e` / H1; derived object: FR-011 AC-2</x:v>
      </x:c>
      <x:c r="M165" s="52" t="str">
        <x:v>not-found</x:v>
      </x:c>
      <x:c r="N165" s="52" t="str">
        <x:v>not-found</x:v>
      </x:c>
      <x:c r="O165" s="52" t="str">
        <x:v>not-found</x:v>
      </x:c>
      <x:c r="P165" s="52" t="str">
        <x:v>not-found</x:v>
      </x:c>
      <x:c r="Q165" s="55" t="str">
        <x:v>not-approved-by-this-classification</x:v>
      </x:c>
      <x:c r="R165" s="34" t="str">
        <x:v>candidate-only-after-scenario-level-evidence-review-and-explicit-approval</x:v>
      </x:c>
      <x:c r="S165" s="34" t="str">
        <x:v>FR-011 AC-2; C1; detailed record: R05-site-operation-acceptance-scenarios.md line 79; execution evidence remains separate</x:v>
      </x:c>
      <x:c r="T165" s="35" t="str">
        <x:v>R05-site-operation-acceptance-scenarios.md:79</x:v>
      </x:c>
    </x:row>
    <x:row r="166" ht="48" customHeight="1">
      <x:c r="A166" s="44" t="str">
        <x:v>R05-30</x:v>
      </x:c>
      <x:c r="B166" s="45" t="str">
        <x:v>R05</x:v>
      </x:c>
      <x:c r="C166" s="34" t="str">
        <x:v>requirement-documents/05-test-cases/01-site-operations/tc-030-insufficient-role-permission-reject.md</x:v>
      </x:c>
      <x:c r="D166" s="49" t="str">
        <x:v>c1841a228db89b8de73560365b1fc320c5d3df487bb54a8f3e31eb4a0d2447f2</x:v>
      </x:c>
      <x:c r="E166" s="40" t="n">
        <x:v>712</x:v>
      </x:c>
      <x:c r="F166" s="34" t="str">
        <x:v>tracked-clean</x:v>
      </x:c>
      <x:c r="G166" s="34" t="str">
        <x:v>tracked-clean</x:v>
      </x:c>
      <x:c r="H166" s="34" t="str">
        <x:v>candidate-acceptance</x:v>
      </x:c>
      <x:c r="I166" s="34" t="str">
        <x:v>R05-C1</x:v>
      </x:c>
      <x:c r="J166" s="34" t="str">
        <x:v>unapproved-acceptance-draft-derived-from-draft-FR-AC</x:v>
      </x:c>
      <x:c r="K166" s="34" t="str">
        <x:v>8005 卸货不要求工号; C1; not executed</x:v>
      </x:c>
      <x:c r="L166" s="34" t="str">
        <x:v>`c1841a228db8` / H1; derived object: FR-011 AC-4</x:v>
      </x:c>
      <x:c r="M166" s="52" t="str">
        <x:v>not-found</x:v>
      </x:c>
      <x:c r="N166" s="52" t="str">
        <x:v>not-found</x:v>
      </x:c>
      <x:c r="O166" s="52" t="str">
        <x:v>not-found</x:v>
      </x:c>
      <x:c r="P166" s="52" t="str">
        <x:v>not-found</x:v>
      </x:c>
      <x:c r="Q166" s="55" t="str">
        <x:v>not-approved-by-this-classification</x:v>
      </x:c>
      <x:c r="R166" s="34" t="str">
        <x:v>candidate-only-after-scenario-level-evidence-review-and-explicit-approval</x:v>
      </x:c>
      <x:c r="S166" s="34" t="str">
        <x:v>FR-011 AC-4; C1; detailed record: R05-site-operation-acceptance-scenarios.md line 80; execution evidence remains separate</x:v>
      </x:c>
      <x:c r="T166" s="35" t="str">
        <x:v>R05-site-operation-acceptance-scenarios.md:80</x:v>
      </x:c>
    </x:row>
    <x:row r="167" ht="48" customHeight="1">
      <x:c r="A167" s="44" t="str">
        <x:v>R05-31</x:v>
      </x:c>
      <x:c r="B167" s="45" t="str">
        <x:v>R05</x:v>
      </x:c>
      <x:c r="C167" s="34" t="str">
        <x:v>requirement-documents/05-test-cases/01-site-operations/tc-031-session-established-after-verification-pass.md</x:v>
      </x:c>
      <x:c r="D167" s="49" t="str">
        <x:v>65a1c1c4641a33420427e366b5bf7c433ba7941747b5cae8f9ad6203c14db256</x:v>
      </x:c>
      <x:c r="E167" s="40" t="n">
        <x:v>860</x:v>
      </x:c>
      <x:c r="F167" s="34" t="str">
        <x:v>tracked-clean</x:v>
      </x:c>
      <x:c r="G167" s="34" t="str">
        <x:v>tracked-clean</x:v>
      </x:c>
      <x:c r="H167" s="34" t="str">
        <x:v>candidate-acceptance</x:v>
      </x:c>
      <x:c r="I167" s="34" t="str">
        <x:v>R05-C1</x:v>
      </x:c>
      <x:c r="J167" s="34" t="str">
        <x:v>unapproved-acceptance-draft-derived-from-draft-FR-AC</x:v>
      </x:c>
      <x:c r="K167" s="34" t="str">
        <x:v>建立并持久化操作员上下文; C1; not executed</x:v>
      </x:c>
      <x:c r="L167" s="34" t="str">
        <x:v>`65a1c1c4641a` / H1; derived object: FR-012 AC-1</x:v>
      </x:c>
      <x:c r="M167" s="52" t="str">
        <x:v>not-found</x:v>
      </x:c>
      <x:c r="N167" s="52" t="str">
        <x:v>not-found</x:v>
      </x:c>
      <x:c r="O167" s="52" t="str">
        <x:v>not-found</x:v>
      </x:c>
      <x:c r="P167" s="52" t="str">
        <x:v>not-found</x:v>
      </x:c>
      <x:c r="Q167" s="55" t="str">
        <x:v>not-approved-by-this-classification</x:v>
      </x:c>
      <x:c r="R167" s="34" t="str">
        <x:v>candidate-only-after-scenario-level-evidence-review-and-explicit-approval</x:v>
      </x:c>
      <x:c r="S167" s="34" t="str">
        <x:v>FR-012 AC-1; C1; detailed record: R05-site-operation-acceptance-scenarios.md line 81; execution evidence remains separate</x:v>
      </x:c>
      <x:c r="T167" s="35" t="str">
        <x:v>R05-site-operation-acceptance-scenarios.md:81</x:v>
      </x:c>
    </x:row>
    <x:row r="168" ht="48" customHeight="1">
      <x:c r="A168" s="44" t="str">
        <x:v>R05-32</x:v>
      </x:c>
      <x:c r="B168" s="45" t="str">
        <x:v>R05</x:v>
      </x:c>
      <x:c r="C168" s="34" t="str">
        <x:v>requirement-documents/05-test-cases/01-site-operations/tc-032-session-reuse-without-reverification.md</x:v>
      </x:c>
      <x:c r="D168" s="49" t="str">
        <x:v>adfef029600981d9ae48696759bcf2b8eb9dc26010f06ad5f893a0b03b6bf0e1</x:v>
      </x:c>
      <x:c r="E168" s="40" t="n">
        <x:v>852</x:v>
      </x:c>
      <x:c r="F168" s="34" t="str">
        <x:v>tracked-clean</x:v>
      </x:c>
      <x:c r="G168" s="34" t="str">
        <x:v>tracked-clean</x:v>
      </x:c>
      <x:c r="H168" s="34" t="str">
        <x:v>candidate-acceptance</x:v>
      </x:c>
      <x:c r="I168" s="34" t="str">
        <x:v>R05-C1</x:v>
      </x:c>
      <x:c r="J168" s="34" t="str">
        <x:v>unapproved-acceptance-draft-derived-from-draft-FR-AC</x:v>
      </x:c>
      <x:c r="K168" s="34" t="str">
        <x:v>跨 Sublot 复用工号; C1; not executed</x:v>
      </x:c>
      <x:c r="L168" s="34" t="str">
        <x:v>`adfef0296009` / H1; derived object: FR-012 AC-2</x:v>
      </x:c>
      <x:c r="M168" s="52" t="str">
        <x:v>not-found</x:v>
      </x:c>
      <x:c r="N168" s="52" t="str">
        <x:v>not-found</x:v>
      </x:c>
      <x:c r="O168" s="52" t="str">
        <x:v>not-found</x:v>
      </x:c>
      <x:c r="P168" s="52" t="str">
        <x:v>not-found</x:v>
      </x:c>
      <x:c r="Q168" s="55" t="str">
        <x:v>not-approved-by-this-classification</x:v>
      </x:c>
      <x:c r="R168" s="34" t="str">
        <x:v>candidate-only-after-scenario-level-evidence-review-and-explicit-approval</x:v>
      </x:c>
      <x:c r="S168" s="34" t="str">
        <x:v>FR-012 AC-2; C1; detailed record: R05-site-operation-acceptance-scenarios.md line 82; execution evidence remains separate</x:v>
      </x:c>
      <x:c r="T168" s="35" t="str">
        <x:v>R05-site-operation-acceptance-scenarios.md:82</x:v>
      </x:c>
    </x:row>
    <x:row r="169" ht="48" customHeight="1">
      <x:c r="A169" s="44" t="str">
        <x:v>R05-33</x:v>
      </x:c>
      <x:c r="B169" s="45" t="str">
        <x:v>R05</x:v>
      </x:c>
      <x:c r="C169" s="34" t="str">
        <x:v>requirement-documents/05-test-cases/01-site-operations/tc-033-first-door-operation-triggers-lock-stage.md</x:v>
      </x:c>
      <x:c r="D169" s="49" t="str">
        <x:v>1bc566b67d4b0e86675c69716d6558cadf2cb8cbcbc5c631c92bcbd467a4441b</x:v>
      </x:c>
      <x:c r="E169" s="40" t="n">
        <x:v>739</x:v>
      </x:c>
      <x:c r="F169" s="34" t="str">
        <x:v>tracked-clean</x:v>
      </x:c>
      <x:c r="G169" s="34" t="str">
        <x:v>tracked-clean</x:v>
      </x:c>
      <x:c r="H169" s="34" t="str">
        <x:v>candidate-acceptance</x:v>
      </x:c>
      <x:c r="I169" s="34" t="str">
        <x:v>R05-C1</x:v>
      </x:c>
      <x:c r="J169" s="34" t="str">
        <x:v>unapproved-acceptance-draft-derived-from-draft-FR-AC</x:v>
      </x:c>
      <x:c r="K169" s="34" t="str">
        <x:v>Sublot 内固定操作员; C1; not executed</x:v>
      </x:c>
      <x:c r="L169" s="34" t="str">
        <x:v>`1bc566b67d4b` / H1; derived object: FR-012 AC-2</x:v>
      </x:c>
      <x:c r="M169" s="52" t="str">
        <x:v>not-found</x:v>
      </x:c>
      <x:c r="N169" s="52" t="str">
        <x:v>not-found</x:v>
      </x:c>
      <x:c r="O169" s="52" t="str">
        <x:v>not-found</x:v>
      </x:c>
      <x:c r="P169" s="52" t="str">
        <x:v>not-found</x:v>
      </x:c>
      <x:c r="Q169" s="55" t="str">
        <x:v>not-approved-by-this-classification</x:v>
      </x:c>
      <x:c r="R169" s="34" t="str">
        <x:v>candidate-only-after-scenario-level-evidence-review-and-explicit-approval</x:v>
      </x:c>
      <x:c r="S169" s="34" t="str">
        <x:v>FR-012 AC-2; C1; detailed record: R05-site-operation-acceptance-scenarios.md line 83; execution evidence remains separate</x:v>
      </x:c>
      <x:c r="T169" s="35" t="str">
        <x:v>R05-site-operation-acceptance-scenarios.md:83</x:v>
      </x:c>
    </x:row>
    <x:row r="170" ht="48" customHeight="1">
      <x:c r="A170" s="44" t="str">
        <x:v>R05-34</x:v>
      </x:c>
      <x:c r="B170" s="45" t="str">
        <x:v>R05</x:v>
      </x:c>
      <x:c r="C170" s="34" t="str">
        <x:v>requirement-documents/05-test-cases/01-site-operations/tc-034-uc006-cancel-does-not-affect-session.md</x:v>
      </x:c>
      <x:c r="D170" s="49" t="str">
        <x:v>bad12f2eef75b76a2f71fceb978a991439fa0efb53dc762cb52bf0652abccb70</x:v>
      </x:c>
      <x:c r="E170" s="40" t="n">
        <x:v>922</x:v>
      </x:c>
      <x:c r="F170" s="34" t="str">
        <x:v>tracked-clean</x:v>
      </x:c>
      <x:c r="G170" s="34" t="str">
        <x:v>tracked-clean</x:v>
      </x:c>
      <x:c r="H170" s="34" t="str">
        <x:v>candidate-acceptance</x:v>
      </x:c>
      <x:c r="I170" s="34" t="str">
        <x:v>R05-C1</x:v>
      </x:c>
      <x:c r="J170" s="34" t="str">
        <x:v>unapproved-acceptance-draft-derived-from-draft-FR-AC</x:v>
      </x:c>
      <x:c r="K170" s="34" t="str">
        <x:v>无进展/掉线/重启保持上下文; C1; not executed</x:v>
      </x:c>
      <x:c r="L170" s="34" t="str">
        <x:v>`bad12f2eef75` / H1; derived object: FR-013 AC-1</x:v>
      </x:c>
      <x:c r="M170" s="52" t="str">
        <x:v>not-found</x:v>
      </x:c>
      <x:c r="N170" s="52" t="str">
        <x:v>not-found</x:v>
      </x:c>
      <x:c r="O170" s="52" t="str">
        <x:v>not-found</x:v>
      </x:c>
      <x:c r="P170" s="52" t="str">
        <x:v>not-found</x:v>
      </x:c>
      <x:c r="Q170" s="55" t="str">
        <x:v>not-approved-by-this-classification</x:v>
      </x:c>
      <x:c r="R170" s="34" t="str">
        <x:v>candidate-only-after-scenario-level-evidence-review-and-explicit-approval</x:v>
      </x:c>
      <x:c r="S170" s="34" t="str">
        <x:v>FR-013 AC-1; C1; detailed record: R05-site-operation-acceptance-scenarios.md line 84; execution evidence remains separate</x:v>
      </x:c>
      <x:c r="T170" s="35" t="str">
        <x:v>R05-site-operation-acceptance-scenarios.md:84</x:v>
      </x:c>
    </x:row>
    <x:row r="171" ht="48" customHeight="1">
      <x:c r="A171" s="44" t="str">
        <x:v>R05-35</x:v>
      </x:c>
      <x:c r="B171" s="45" t="str">
        <x:v>R05</x:v>
      </x:c>
      <x:c r="C171" s="34" t="str">
        <x:v>requirement-documents/05-test-cases/01-site-operations/tc-035-uc002-confirm-completion-ends-session-normally.md</x:v>
      </x:c>
      <x:c r="D171" s="49" t="str">
        <x:v>74e36ee04a198713dfee589f3714dab8c6b461f7723a2787fd2d15d27440af8d</x:v>
      </x:c>
      <x:c r="E171" s="40" t="n">
        <x:v>784</x:v>
      </x:c>
      <x:c r="F171" s="34" t="str">
        <x:v>tracked-clean</x:v>
      </x:c>
      <x:c r="G171" s="34" t="str">
        <x:v>tracked-clean</x:v>
      </x:c>
      <x:c r="H171" s="34" t="str">
        <x:v>candidate-acceptance</x:v>
      </x:c>
      <x:c r="I171" s="34" t="str">
        <x:v>R05-C1</x:v>
      </x:c>
      <x:c r="J171" s="34" t="str">
        <x:v>unapproved-acceptance-draft-derived-from-draft-FR-AC</x:v>
      </x:c>
      <x:c r="K171" s="34" t="str">
        <x:v>完成 Sublot 后保留工号并可换人; C1; not executed</x:v>
      </x:c>
      <x:c r="L171" s="34" t="str">
        <x:v>`74e36ee04a19` / H1; derived object: FR-013 AC-2</x:v>
      </x:c>
      <x:c r="M171" s="52" t="str">
        <x:v>not-found</x:v>
      </x:c>
      <x:c r="N171" s="52" t="str">
        <x:v>not-found</x:v>
      </x:c>
      <x:c r="O171" s="52" t="str">
        <x:v>not-found</x:v>
      </x:c>
      <x:c r="P171" s="52" t="str">
        <x:v>not-found</x:v>
      </x:c>
      <x:c r="Q171" s="55" t="str">
        <x:v>not-approved-by-this-classification</x:v>
      </x:c>
      <x:c r="R171" s="34" t="str">
        <x:v>candidate-only-after-scenario-level-evidence-review-and-explicit-approval</x:v>
      </x:c>
      <x:c r="S171" s="34" t="str">
        <x:v>FR-013 AC-2; C1; detailed record: R05-site-operation-acceptance-scenarios.md line 85; execution evidence remains separate</x:v>
      </x:c>
      <x:c r="T171" s="35" t="str">
        <x:v>R05-site-operation-acceptance-scenarios.md:85</x:v>
      </x:c>
    </x:row>
    <x:row r="172" ht="48" customHeight="1">
      <x:c r="A172" s="44" t="str">
        <x:v>R05-36</x:v>
      </x:c>
      <x:c r="B172" s="45" t="str">
        <x:v>R05</x:v>
      </x:c>
      <x:c r="C172" s="34" t="str">
        <x:v>requirement-documents/05-test-cases/01-site-operations/tc-036-unlocked-stage-manual-early-end-session.md</x:v>
      </x:c>
      <x:c r="D172" s="49" t="str">
        <x:v>4189c32c99435f430ea6e0df50dbb7da87b99dc74dcafb641b386893ad2f81c0</x:v>
      </x:c>
      <x:c r="E172" s="40" t="n">
        <x:v>757</x:v>
      </x:c>
      <x:c r="F172" s="34" t="str">
        <x:v>tracked-clean</x:v>
      </x:c>
      <x:c r="G172" s="34" t="str">
        <x:v>tracked-clean</x:v>
      </x:c>
      <x:c r="H172" s="34" t="str">
        <x:v>candidate-acceptance</x:v>
      </x:c>
      <x:c r="I172" s="34" t="str">
        <x:v>R05-C1</x:v>
      </x:c>
      <x:c r="J172" s="34" t="str">
        <x:v>unapproved-acceptance-draft-derived-from-draft-FR-AC</x:v>
      </x:c>
      <x:c r="K172" s="34" t="str">
        <x:v>StopClosureCommit 清除会话; C1; not executed</x:v>
      </x:c>
      <x:c r="L172" s="34" t="str">
        <x:v>`4189c32c9943` / H1; derived object: FR-013 AC-3</x:v>
      </x:c>
      <x:c r="M172" s="52" t="str">
        <x:v>not-found</x:v>
      </x:c>
      <x:c r="N172" s="52" t="str">
        <x:v>not-found</x:v>
      </x:c>
      <x:c r="O172" s="52" t="str">
        <x:v>not-found</x:v>
      </x:c>
      <x:c r="P172" s="52" t="str">
        <x:v>not-found</x:v>
      </x:c>
      <x:c r="Q172" s="55" t="str">
        <x:v>not-approved-by-this-classification</x:v>
      </x:c>
      <x:c r="R172" s="34" t="str">
        <x:v>candidate-only-after-scenario-level-evidence-review-and-explicit-approval</x:v>
      </x:c>
      <x:c r="S172" s="34" t="str">
        <x:v>FR-013 AC-3; C1; detailed record: R05-site-operation-acceptance-scenarios.md line 86; execution evidence remains separate</x:v>
      </x:c>
      <x:c r="T172" s="35" t="str">
        <x:v>R05-site-operation-acceptance-scenarios.md:86</x:v>
      </x:c>
    </x:row>
    <x:row r="173" ht="48" customHeight="1">
      <x:c r="A173" s="44" t="str">
        <x:v>R05-37</x:v>
      </x:c>
      <x:c r="B173" s="45" t="str">
        <x:v>R05</x:v>
      </x:c>
      <x:c r="C173" s="34" t="str">
        <x:v>requirement-documents/05-test-cases/01-site-operations/tc-037-locked-stage-reject-manual-end-session.md</x:v>
      </x:c>
      <x:c r="D173" s="49" t="str">
        <x:v>496c489a54fac9716725bdfe94f61d02dacd473a85153c3fe74c47995b560917</x:v>
      </x:c>
      <x:c r="E173" s="40" t="n">
        <x:v>754</x:v>
      </x:c>
      <x:c r="F173" s="34" t="str">
        <x:v>tracked-clean</x:v>
      </x:c>
      <x:c r="G173" s="34" t="str">
        <x:v>tracked-clean</x:v>
      </x:c>
      <x:c r="H173" s="34" t="str">
        <x:v>candidate-acceptance</x:v>
      </x:c>
      <x:c r="I173" s="34" t="str">
        <x:v>R05-C1</x:v>
      </x:c>
      <x:c r="J173" s="34" t="str">
        <x:v>unapproved-acceptance-draft-derived-from-draft-FR-AC</x:v>
      </x:c>
      <x:c r="K173" s="34" t="str">
        <x:v>未结 Sublot 禁止本地强清; C1; not executed</x:v>
      </x:c>
      <x:c r="L173" s="34" t="str">
        <x:v>`496c489a54fa` / H1; derived object: FR-013 AC-4</x:v>
      </x:c>
      <x:c r="M173" s="52" t="str">
        <x:v>not-found</x:v>
      </x:c>
      <x:c r="N173" s="52" t="str">
        <x:v>not-found</x:v>
      </x:c>
      <x:c r="O173" s="52" t="str">
        <x:v>not-found</x:v>
      </x:c>
      <x:c r="P173" s="52" t="str">
        <x:v>not-found</x:v>
      </x:c>
      <x:c r="Q173" s="55" t="str">
        <x:v>not-approved-by-this-classification</x:v>
      </x:c>
      <x:c r="R173" s="34" t="str">
        <x:v>candidate-only-after-scenario-level-evidence-review-and-explicit-approval</x:v>
      </x:c>
      <x:c r="S173" s="34" t="str">
        <x:v>FR-013 AC-4; C1; detailed record: R05-site-operation-acceptance-scenarios.md line 87; execution evidence remains separate</x:v>
      </x:c>
      <x:c r="T173" s="35" t="str">
        <x:v>R05-site-operation-acceptance-scenarios.md:87</x:v>
      </x:c>
    </x:row>
    <x:row r="174" ht="48" customHeight="1">
      <x:c r="A174" s="44" t="str">
        <x:v>R05-38</x:v>
      </x:c>
      <x:c r="B174" s="45" t="str">
        <x:v>R05</x:v>
      </x:c>
      <x:c r="C174" s="34" t="str">
        <x:v>requirement-documents/05-test-cases/01-site-operations/tc-038-move-interlock-reject-unlock.md</x:v>
      </x:c>
      <x:c r="D174" s="49" t="str">
        <x:v>a532c47588b4d263257b813399f9862ac7a0f250aa4b6a7c788f85ee5f22a7e0</x:v>
      </x:c>
      <x:c r="E174" s="40" t="n">
        <x:v>757</x:v>
      </x:c>
      <x:c r="F174" s="34" t="str">
        <x:v>tracked-clean</x:v>
      </x:c>
      <x:c r="G174" s="34" t="str">
        <x:v>tracked-clean</x:v>
      </x:c>
      <x:c r="H174" s="34" t="str">
        <x:v>candidate-acceptance</x:v>
      </x:c>
      <x:c r="I174" s="34" t="str">
        <x:v>R05-C1</x:v>
      </x:c>
      <x:c r="J174" s="34" t="str">
        <x:v>unapproved-acceptance-draft-derived-from-draft-FR-AC</x:v>
      </x:c>
      <x:c r="K174" s="34" t="str">
        <x:v>移动联锁拒绝残留仓重开; C1; not executed</x:v>
      </x:c>
      <x:c r="L174" s="34" t="str">
        <x:v>`a532c47588b4` / H3; derived object: FR-014 AC-1</x:v>
      </x:c>
      <x:c r="M174" s="52" t="str">
        <x:v>not-found</x:v>
      </x:c>
      <x:c r="N174" s="52" t="str">
        <x:v>not-found</x:v>
      </x:c>
      <x:c r="O174" s="52" t="str">
        <x:v>not-found</x:v>
      </x:c>
      <x:c r="P174" s="52" t="str">
        <x:v>not-found</x:v>
      </x:c>
      <x:c r="Q174" s="55" t="str">
        <x:v>not-approved-by-this-classification</x:v>
      </x:c>
      <x:c r="R174" s="34" t="str">
        <x:v>candidate-only-after-scenario-level-evidence-review-and-explicit-approval</x:v>
      </x:c>
      <x:c r="S174" s="34" t="str">
        <x:v>FR-014 AC-1; C1; detailed record: R05-site-operation-acceptance-scenarios.md line 88; execution evidence remains separate</x:v>
      </x:c>
      <x:c r="T174" s="35" t="str">
        <x:v>R05-site-operation-acceptance-scenarios.md:88</x:v>
      </x:c>
    </x:row>
    <x:row r="175" ht="48" customHeight="1">
      <x:c r="A175" s="44" t="str">
        <x:v>R05-39</x:v>
      </x:c>
      <x:c r="B175" s="45" t="str">
        <x:v>R05</x:v>
      </x:c>
      <x:c r="C175" s="34" t="str">
        <x:v>requirement-documents/05-test-cases/01-site-operations/tc-039-slot-reopen-success.md</x:v>
      </x:c>
      <x:c r="D175" s="49" t="str">
        <x:v>e78b1f2b289ab6038b69fd79c59892edf295cb7aafea671ac692cfa710bbb78a</x:v>
      </x:c>
      <x:c r="E175" s="40" t="n">
        <x:v>595</x:v>
      </x:c>
      <x:c r="F175" s="34" t="str">
        <x:v>tracked-clean</x:v>
      </x:c>
      <x:c r="G175" s="34" t="str">
        <x:v>tracked-clean</x:v>
      </x:c>
      <x:c r="H175" s="34" t="str">
        <x:v>candidate-acceptance</x:v>
      </x:c>
      <x:c r="I175" s="34" t="str">
        <x:v>R05-C1</x:v>
      </x:c>
      <x:c r="J175" s="34" t="str">
        <x:v>unapproved-acceptance-draft-derived-from-draft-FR-AC</x:v>
      </x:c>
      <x:c r="K175" s="34" t="str">
        <x:v>残留仓重开成功; C1; not executed</x:v>
      </x:c>
      <x:c r="L175" s="34" t="str">
        <x:v>`e78b1f2b289a` / H3; derived object: FR-014 AC-2</x:v>
      </x:c>
      <x:c r="M175" s="52" t="str">
        <x:v>not-found</x:v>
      </x:c>
      <x:c r="N175" s="52" t="str">
        <x:v>not-found</x:v>
      </x:c>
      <x:c r="O175" s="52" t="str">
        <x:v>not-found</x:v>
      </x:c>
      <x:c r="P175" s="52" t="str">
        <x:v>not-found</x:v>
      </x:c>
      <x:c r="Q175" s="55" t="str">
        <x:v>not-approved-by-this-classification</x:v>
      </x:c>
      <x:c r="R175" s="34" t="str">
        <x:v>candidate-only-after-scenario-level-evidence-review-and-explicit-approval</x:v>
      </x:c>
      <x:c r="S175" s="34" t="str">
        <x:v>FR-014 AC-2; C1; detailed record: R05-site-operation-acceptance-scenarios.md line 89; execution evidence remains separate</x:v>
      </x:c>
      <x:c r="T175" s="35" t="str">
        <x:v>R05-site-operation-acceptance-scenarios.md:89</x:v>
      </x:c>
    </x:row>
    <x:row r="176" ht="48" customHeight="1">
      <x:c r="A176" s="44" t="str">
        <x:v>R05-40</x:v>
      </x:c>
      <x:c r="B176" s="45" t="str">
        <x:v>R05</x:v>
      </x:c>
      <x:c r="C176" s="34" t="str">
        <x:v>requirement-documents/05-test-cases/01-site-operations/tc-040-reclose-curtain-confirm-clear-restore-idle.md</x:v>
      </x:c>
      <x:c r="D176" s="49" t="str">
        <x:v>b484708608b0f5bb5b84d23e2f2f0c9d409e3acf1e2ac2a411fa847cca951867</x:v>
      </x:c>
      <x:c r="E176" s="40" t="n">
        <x:v>820</x:v>
      </x:c>
      <x:c r="F176" s="34" t="str">
        <x:v>tracked-clean</x:v>
      </x:c>
      <x:c r="G176" s="34" t="str">
        <x:v>tracked-clean</x:v>
      </x:c>
      <x:c r="H176" s="34" t="str">
        <x:v>candidate-acceptance</x:v>
      </x:c>
      <x:c r="I176" s="34" t="str">
        <x:v>R05-C1</x:v>
      </x:c>
      <x:c r="J176" s="34" t="str">
        <x:v>unapproved-acceptance-draft-derived-from-draft-FR-AC</x:v>
      </x:c>
      <x:c r="K176" s="34" t="str">
        <x:v>清空后恢复空闲并记录; C1; not executed</x:v>
      </x:c>
      <x:c r="L176" s="34" t="str">
        <x:v>`b484708608b0` / H3; derived object: FR-014 AC-3</x:v>
      </x:c>
      <x:c r="M176" s="52" t="str">
        <x:v>not-found</x:v>
      </x:c>
      <x:c r="N176" s="52" t="str">
        <x:v>not-found</x:v>
      </x:c>
      <x:c r="O176" s="52" t="str">
        <x:v>not-found</x:v>
      </x:c>
      <x:c r="P176" s="52" t="str">
        <x:v>not-found</x:v>
      </x:c>
      <x:c r="Q176" s="55" t="str">
        <x:v>not-approved-by-this-classification</x:v>
      </x:c>
      <x:c r="R176" s="34" t="str">
        <x:v>candidate-only-after-scenario-level-evidence-review-and-explicit-approval</x:v>
      </x:c>
      <x:c r="S176" s="34" t="str">
        <x:v>FR-014 AC-3; C1; detailed record: R05-site-operation-acceptance-scenarios.md line 90; execution evidence remains separate</x:v>
      </x:c>
      <x:c r="T176" s="35" t="str">
        <x:v>R05-site-operation-acceptance-scenarios.md:90</x:v>
      </x:c>
    </x:row>
    <x:row r="177" ht="48" customHeight="1">
      <x:c r="A177" s="44" t="str">
        <x:v>R05-41</x:v>
      </x:c>
      <x:c r="B177" s="45" t="str">
        <x:v>R05</x:v>
      </x:c>
      <x:c r="C177" s="34" t="str">
        <x:v>requirement-documents/05-test-cases/01-site-operations/tc-041-reclose-residue-remains-require-reopen-again.md</x:v>
      </x:c>
      <x:c r="D177" s="49" t="str">
        <x:v>10673ab1076c5d49dbabd7ee90d2b1c5b34d2252a811f4c26ee55012c0d9a5d0</x:v>
      </x:c>
      <x:c r="E177" s="40" t="n">
        <x:v>878</x:v>
      </x:c>
      <x:c r="F177" s="34" t="str">
        <x:v>tracked-clean</x:v>
      </x:c>
      <x:c r="G177" s="34" t="str">
        <x:v>tracked-clean</x:v>
      </x:c>
      <x:c r="H177" s="34" t="str">
        <x:v>candidate-acceptance</x:v>
      </x:c>
      <x:c r="I177" s="34" t="str">
        <x:v>R05-C1</x:v>
      </x:c>
      <x:c r="J177" s="34" t="str">
        <x:v>unapproved-acceptance-draft-derived-from-draft-FR-AC</x:v>
      </x:c>
      <x:c r="K177" s="34" t="str">
        <x:v>残留仍在则反复重开; C1; not executed</x:v>
      </x:c>
      <x:c r="L177" s="34" t="str">
        <x:v>`10673ab1076c` / H1; derived object: FR-014 AC-4</x:v>
      </x:c>
      <x:c r="M177" s="52" t="str">
        <x:v>not-found</x:v>
      </x:c>
      <x:c r="N177" s="52" t="str">
        <x:v>not-found</x:v>
      </x:c>
      <x:c r="O177" s="52" t="str">
        <x:v>not-found</x:v>
      </x:c>
      <x:c r="P177" s="52" t="str">
        <x:v>not-found</x:v>
      </x:c>
      <x:c r="Q177" s="55" t="str">
        <x:v>not-approved-by-this-classification</x:v>
      </x:c>
      <x:c r="R177" s="34" t="str">
        <x:v>candidate-only-after-scenario-level-evidence-review-and-explicit-approval</x:v>
      </x:c>
      <x:c r="S177" s="34" t="str">
        <x:v>FR-014 AC-4; C1; detailed record: R05-site-operation-acceptance-scenarios.md line 91; execution evidence remains separate</x:v>
      </x:c>
      <x:c r="T177" s="35" t="str">
        <x:v>R05-site-operation-acceptance-scenarios.md:91</x:v>
      </x:c>
    </x:row>
    <x:row r="178" ht="48" customHeight="1">
      <x:c r="A178" s="44" t="str">
        <x:v>R05-42</x:v>
      </x:c>
      <x:c r="B178" s="45" t="str">
        <x:v>R05</x:v>
      </x:c>
      <x:c r="C178" s="34" t="str">
        <x:v>requirement-documents/05-test-cases/01-site-operations/tc-098-cancel-occupancy-mismatch-auto-reopen.md</x:v>
      </x:c>
      <x:c r="D178" s="49" t="str">
        <x:v>f0fe7ba0822bb83aa2a90bd9222dad7af43192a8428f29b5fb1b93c7d899dfeb</x:v>
      </x:c>
      <x:c r="E178" s="40" t="n">
        <x:v>746</x:v>
      </x:c>
      <x:c r="F178" s="34" t="str">
        <x:v>tracked-clean</x:v>
      </x:c>
      <x:c r="G178" s="34" t="str">
        <x:v>tracked-clean</x:v>
      </x:c>
      <x:c r="H178" s="34" t="str">
        <x:v>candidate-acceptance</x:v>
      </x:c>
      <x:c r="I178" s="34" t="str">
        <x:v>R05-C2</x:v>
      </x:c>
      <x:c r="J178" s="34" t="str">
        <x:v>unapproved-acceptance-draft-mixing-FR-AC-with-internal-design</x:v>
      </x:c>
      <x:c r="K178" s="34" t="str">
        <x:v>取消清空目标态闭环; C2; not executed</x:v>
      </x:c>
      <x:c r="L178" s="34" t="str">
        <x:v>`f0fe7ba0822b` / H2; derived object: FR-007 AC-4</x:v>
      </x:c>
      <x:c r="M178" s="52" t="str">
        <x:v>not-found</x:v>
      </x:c>
      <x:c r="N178" s="52" t="str">
        <x:v>not-found</x:v>
      </x:c>
      <x:c r="O178" s="52" t="str">
        <x:v>not-found</x:v>
      </x:c>
      <x:c r="P178" s="52" t="str">
        <x:v>not-found</x:v>
      </x:c>
      <x:c r="Q178" s="55" t="str">
        <x:v>not-approved-by-this-classification</x:v>
      </x:c>
      <x:c r="R178" s="34" t="str">
        <x:v>split-business-acceptance-from-design-interface-and-safety-claims-before-explicit-approval</x:v>
      </x:c>
      <x:c r="S178" s="34" t="str">
        <x:v>FR-007 AC-4; C2; detailed record: R05-site-operation-acceptance-scenarios.md line 92; execution evidence remains separate</x:v>
      </x:c>
      <x:c r="T178" s="35" t="str">
        <x:v>R05-site-operation-acceptance-scenarios.md:92</x:v>
      </x:c>
    </x:row>
    <x:row r="179" ht="48" customHeight="1">
      <x:c r="A179" s="44" t="str">
        <x:v>R05-43</x:v>
      </x:c>
      <x:c r="B179" s="45" t="str">
        <x:v>R05</x:v>
      </x:c>
      <x:c r="C179" s="34" t="str">
        <x:v>requirement-documents/05-test-cases/01-site-operations/tc-099-postcommit-cancel-preserves-history.md</x:v>
      </x:c>
      <x:c r="D179" s="49" t="str">
        <x:v>424c0b9ae294fc725a87a182c94b4582a7ffbd84e1a801a8cab42fc3620b01d6</x:v>
      </x:c>
      <x:c r="E179" s="40" t="n">
        <x:v>726</x:v>
      </x:c>
      <x:c r="F179" s="34" t="str">
        <x:v>tracked-clean</x:v>
      </x:c>
      <x:c r="G179" s="34" t="str">
        <x:v>tracked-clean</x:v>
      </x:c>
      <x:c r="H179" s="34" t="str">
        <x:v>candidate-acceptance</x:v>
      </x:c>
      <x:c r="I179" s="34" t="str">
        <x:v>R05-C2</x:v>
      </x:c>
      <x:c r="J179" s="34" t="str">
        <x:v>unapproved-acceptance-draft-mixing-FR-AC-with-internal-design</x:v>
      </x:c>
      <x:c r="K179" s="34" t="str">
        <x:v>提交后取消保留历史; C2; not executed</x:v>
      </x:c>
      <x:c r="L179" s="34" t="str">
        <x:v>`424c0b9ae294` / H2; derived object: FR-007 AC-5</x:v>
      </x:c>
      <x:c r="M179" s="52" t="str">
        <x:v>not-found</x:v>
      </x:c>
      <x:c r="N179" s="52" t="str">
        <x:v>not-found</x:v>
      </x:c>
      <x:c r="O179" s="52" t="str">
        <x:v>not-found</x:v>
      </x:c>
      <x:c r="P179" s="52" t="str">
        <x:v>not-found</x:v>
      </x:c>
      <x:c r="Q179" s="55" t="str">
        <x:v>not-approved-by-this-classification</x:v>
      </x:c>
      <x:c r="R179" s="34" t="str">
        <x:v>split-business-acceptance-from-design-interface-and-safety-claims-before-explicit-approval</x:v>
      </x:c>
      <x:c r="S179" s="34" t="str">
        <x:v>FR-007 AC-5; C2; detailed record: R05-site-operation-acceptance-scenarios.md line 93; execution evidence remains separate</x:v>
      </x:c>
      <x:c r="T179" s="35" t="str">
        <x:v>R05-site-operation-acceptance-scenarios.md:93</x:v>
      </x:c>
    </x:row>
    <x:row r="180" ht="48" customHeight="1">
      <x:c r="A180" s="44" t="str">
        <x:v>R05-44</x:v>
      </x:c>
      <x:c r="B180" s="45" t="str">
        <x:v>R05</x:v>
      </x:c>
      <x:c r="C180" s="34" t="str">
        <x:v>requirement-documents/05-test-cases/01-site-operations/tc-100-cancel-one-sublot-preserves-another.md</x:v>
      </x:c>
      <x:c r="D180" s="49" t="str">
        <x:v>dc164aae39236bef618c7db30bd91364db1a35bb99d28049c8434697b1e0e24e</x:v>
      </x:c>
      <x:c r="E180" s="40" t="n">
        <x:v>743</x:v>
      </x:c>
      <x:c r="F180" s="34" t="str">
        <x:v>tracked-clean</x:v>
      </x:c>
      <x:c r="G180" s="34" t="str">
        <x:v>tracked-clean</x:v>
      </x:c>
      <x:c r="H180" s="34" t="str">
        <x:v>candidate-acceptance</x:v>
      </x:c>
      <x:c r="I180" s="34" t="str">
        <x:v>R05-C2</x:v>
      </x:c>
      <x:c r="J180" s="34" t="str">
        <x:v>unapproved-acceptance-draft-mixing-FR-AC-with-internal-design</x:v>
      </x:c>
      <x:c r="K180" s="34" t="str">
        <x:v>多 Sublot 取消隔离; C2; not executed</x:v>
      </x:c>
      <x:c r="L180" s="34" t="str">
        <x:v>`dc164aae3923` / H2; derived object: FR-007 AC-6</x:v>
      </x:c>
      <x:c r="M180" s="52" t="str">
        <x:v>not-found</x:v>
      </x:c>
      <x:c r="N180" s="52" t="str">
        <x:v>not-found</x:v>
      </x:c>
      <x:c r="O180" s="52" t="str">
        <x:v>not-found</x:v>
      </x:c>
      <x:c r="P180" s="52" t="str">
        <x:v>not-found</x:v>
      </x:c>
      <x:c r="Q180" s="55" t="str">
        <x:v>not-approved-by-this-classification</x:v>
      </x:c>
      <x:c r="R180" s="34" t="str">
        <x:v>split-business-acceptance-from-design-interface-and-safety-claims-before-explicit-approval</x:v>
      </x:c>
      <x:c r="S180" s="34" t="str">
        <x:v>FR-007 AC-6; C2; detailed record: R05-site-operation-acceptance-scenarios.md line 94; execution evidence remains separate</x:v>
      </x:c>
      <x:c r="T180" s="35" t="str">
        <x:v>R05-site-operation-acceptance-scenarios.md:94</x:v>
      </x:c>
    </x:row>
    <x:row r="181" ht="48" customHeight="1">
      <x:c r="A181" s="44" t="str">
        <x:v>R05-45</x:v>
      </x:c>
      <x:c r="B181" s="45" t="str">
        <x:v>R05</x:v>
      </x:c>
      <x:c r="C181" s="34" t="str">
        <x:v>requirement-documents/05-test-cases/01-site-operations/tc-101-cross-sublot-operation-serialization.md</x:v>
      </x:c>
      <x:c r="D181" s="49" t="str">
        <x:v>58e3e0455c1edc26a591f5fa67b302ee7e76fe20b06ac1e13e8e49d7876d01b7</x:v>
      </x:c>
      <x:c r="E181" s="40" t="n">
        <x:v>691</x:v>
      </x:c>
      <x:c r="F181" s="34" t="str">
        <x:v>tracked-clean</x:v>
      </x:c>
      <x:c r="G181" s="34" t="str">
        <x:v>tracked-clean</x:v>
      </x:c>
      <x:c r="H181" s="34" t="str">
        <x:v>candidate-acceptance</x:v>
      </x:c>
      <x:c r="I181" s="34" t="str">
        <x:v>R05-C2</x:v>
      </x:c>
      <x:c r="J181" s="34" t="str">
        <x:v>unapproved-acceptance-draft-mixing-FR-AC-with-internal-design</x:v>
      </x:c>
      <x:c r="K181" s="34" t="str">
        <x:v>跨 Sublot 物理操作串行; C2; not executed</x:v>
      </x:c>
      <x:c r="L181" s="34" t="str">
        <x:v>`58e3e0455c1e` / H2; derived object: FR-007 AC-7</x:v>
      </x:c>
      <x:c r="M181" s="52" t="str">
        <x:v>not-found</x:v>
      </x:c>
      <x:c r="N181" s="52" t="str">
        <x:v>not-found</x:v>
      </x:c>
      <x:c r="O181" s="52" t="str">
        <x:v>not-found</x:v>
      </x:c>
      <x:c r="P181" s="52" t="str">
        <x:v>not-found</x:v>
      </x:c>
      <x:c r="Q181" s="55" t="str">
        <x:v>not-approved-by-this-classification</x:v>
      </x:c>
      <x:c r="R181" s="34" t="str">
        <x:v>split-business-acceptance-from-design-interface-and-safety-claims-before-explicit-approval</x:v>
      </x:c>
      <x:c r="S181" s="34" t="str">
        <x:v>FR-007 AC-7; C2; detailed record: R05-site-operation-acceptance-scenarios.md line 95; execution evidence remains separate</x:v>
      </x:c>
      <x:c r="T181" s="35" t="str">
        <x:v>R05-site-operation-acceptance-scenarios.md:95</x:v>
      </x:c>
    </x:row>
    <x:row r="182" ht="48" customHeight="1">
      <x:c r="A182" s="44" t="str">
        <x:v>R05-46</x:v>
      </x:c>
      <x:c r="B182" s="45" t="str">
        <x:v>R05</x:v>
      </x:c>
      <x:c r="C182" s="34" t="str">
        <x:v>requirement-documents/05-test-cases/01-site-operations/tc-102-cancelled-slots-reused-for-new-sublot.md</x:v>
      </x:c>
      <x:c r="D182" s="49" t="str">
        <x:v>e451a2e3b2bfe2c17d7aae7be42205aa646d696fd22dfad3fdbe8af521eb745a</x:v>
      </x:c>
      <x:c r="E182" s="40" t="n">
        <x:v>973</x:v>
      </x:c>
      <x:c r="F182" s="34" t="str">
        <x:v>tracked-clean</x:v>
      </x:c>
      <x:c r="G182" s="34" t="str">
        <x:v>tracked-clean</x:v>
      </x:c>
      <x:c r="H182" s="34" t="str">
        <x:v>candidate-acceptance</x:v>
      </x:c>
      <x:c r="I182" s="34" t="str">
        <x:v>R05-C2</x:v>
      </x:c>
      <x:c r="J182" s="34" t="str">
        <x:v>unapproved-acceptance-draft-mixing-FR-AC-with-internal-design</x:v>
      </x:c>
      <x:c r="K182" s="34" t="str">
        <x:v>取消释放与业务键抑制; C2; not executed</x:v>
      </x:c>
      <x:c r="L182" s="34" t="str">
        <x:v>`e451a2e3b2bf` / H2; derived object: FR-007 AC-8</x:v>
      </x:c>
      <x:c r="M182" s="52" t="str">
        <x:v>not-found</x:v>
      </x:c>
      <x:c r="N182" s="52" t="str">
        <x:v>not-found</x:v>
      </x:c>
      <x:c r="O182" s="52" t="str">
        <x:v>not-found</x:v>
      </x:c>
      <x:c r="P182" s="52" t="str">
        <x:v>not-found</x:v>
      </x:c>
      <x:c r="Q182" s="55" t="str">
        <x:v>not-approved-by-this-classification</x:v>
      </x:c>
      <x:c r="R182" s="34" t="str">
        <x:v>split-business-acceptance-from-design-interface-and-safety-claims-before-explicit-approval</x:v>
      </x:c>
      <x:c r="S182" s="34" t="str">
        <x:v>FR-007 AC-8; C2; detailed record: R05-site-operation-acceptance-scenarios.md line 96; execution evidence remains separate</x:v>
      </x:c>
      <x:c r="T182" s="35" t="str">
        <x:v>R05-site-operation-acceptance-scenarios.md:96</x:v>
      </x:c>
    </x:row>
    <x:row r="183" ht="48" customHeight="1">
      <x:c r="A183" s="44" t="str">
        <x:v>R05-47</x:v>
      </x:c>
      <x:c r="B183" s="45" t="str">
        <x:v>R05</x:v>
      </x:c>
      <x:c r="C183" s="34" t="str">
        <x:v>requirement-documents/05-test-cases/01-site-operations/tc-103-departure-wait-start-and-visual-warning.md</x:v>
      </x:c>
      <x:c r="D183" s="49" t="str">
        <x:v>f0b404a199ff38440984e5836f409010869da515b24a808a71713ad484b0ea27</x:v>
      </x:c>
      <x:c r="E183" s="40" t="n">
        <x:v>782</x:v>
      </x:c>
      <x:c r="F183" s="34" t="str">
        <x:v>tracked-clean</x:v>
      </x:c>
      <x:c r="G183" s="34" t="str">
        <x:v>tracked-clean</x:v>
      </x:c>
      <x:c r="H183" s="34" t="str">
        <x:v>candidate-acceptance</x:v>
      </x:c>
      <x:c r="I183" s="34" t="str">
        <x:v>R05-C2</x:v>
      </x:c>
      <x:c r="J183" s="34" t="str">
        <x:v>unapproved-acceptance-draft-mixing-FR-AC-with-internal-design</x:v>
      </x:c>
      <x:c r="K183" s="34" t="str">
        <x:v>5 分钟等待与 60/10 秒视觉提醒; C2; not executed</x:v>
      </x:c>
      <x:c r="L183" s="34" t="str">
        <x:v>`f0b404a199ff` / H2; derived object: FR-031 AC-1/3/4</x:v>
      </x:c>
      <x:c r="M183" s="52" t="str">
        <x:v>not-found</x:v>
      </x:c>
      <x:c r="N183" s="52" t="str">
        <x:v>not-found</x:v>
      </x:c>
      <x:c r="O183" s="52" t="str">
        <x:v>not-found</x:v>
      </x:c>
      <x:c r="P183" s="52" t="str">
        <x:v>not-found</x:v>
      </x:c>
      <x:c r="Q183" s="55" t="str">
        <x:v>not-approved-by-this-classification</x:v>
      </x:c>
      <x:c r="R183" s="34" t="str">
        <x:v>split-business-acceptance-from-design-interface-and-safety-claims-before-explicit-approval</x:v>
      </x:c>
      <x:c r="S183" s="34" t="str">
        <x:v>FR-031 AC-1/3/4; C2; detailed record: R05-site-operation-acceptance-scenarios.md line 97; execution evidence remains separate</x:v>
      </x:c>
      <x:c r="T183" s="35" t="str">
        <x:v>R05-site-operation-acceptance-scenarios.md:97</x:v>
      </x:c>
    </x:row>
    <x:row r="184" ht="48" customHeight="1">
      <x:c r="A184" s="44" t="str">
        <x:v>R05-48</x:v>
      </x:c>
      <x:c r="B184" s="45" t="str">
        <x:v>R05</x:v>
      </x:c>
      <x:c r="C184" s="34" t="str">
        <x:v>requirement-documents/05-test-cases/01-site-operations/tc-104-full-interval-reset-on-business-progress.md</x:v>
      </x:c>
      <x:c r="D184" s="49" t="str">
        <x:v>23e2d9f9600730fb07c92e66de86b5b5c9d6143d670c96a17cf5f0e4340fd666</x:v>
      </x:c>
      <x:c r="E184" s="40" t="n">
        <x:v>667</x:v>
      </x:c>
      <x:c r="F184" s="34" t="str">
        <x:v>tracked-clean</x:v>
      </x:c>
      <x:c r="G184" s="34" t="str">
        <x:v>tracked-clean</x:v>
      </x:c>
      <x:c r="H184" s="34" t="str">
        <x:v>candidate-acceptance</x:v>
      </x:c>
      <x:c r="I184" s="34" t="str">
        <x:v>R05-C2</x:v>
      </x:c>
      <x:c r="J184" s="34" t="str">
        <x:v>unapproved-acceptance-draft-mixing-FR-AC-with-internal-design</x:v>
      </x:c>
      <x:c r="K184" s="34" t="str">
        <x:v>有效进展后完整重新计时; C2; not executed</x:v>
      </x:c>
      <x:c r="L184" s="34" t="str">
        <x:v>`23e2d9f96007` / H2; derived object: FR-031 AC-2</x:v>
      </x:c>
      <x:c r="M184" s="52" t="str">
        <x:v>not-found</x:v>
      </x:c>
      <x:c r="N184" s="52" t="str">
        <x:v>not-found</x:v>
      </x:c>
      <x:c r="O184" s="52" t="str">
        <x:v>not-found</x:v>
      </x:c>
      <x:c r="P184" s="52" t="str">
        <x:v>not-found</x:v>
      </x:c>
      <x:c r="Q184" s="55" t="str">
        <x:v>not-approved-by-this-classification</x:v>
      </x:c>
      <x:c r="R184" s="34" t="str">
        <x:v>split-business-acceptance-from-design-interface-and-safety-claims-before-explicit-approval</x:v>
      </x:c>
      <x:c r="S184" s="34" t="str">
        <x:v>FR-031 AC-2; C2; detailed record: R05-site-operation-acceptance-scenarios.md line 98; execution evidence remains separate</x:v>
      </x:c>
      <x:c r="T184" s="35" t="str">
        <x:v>R05-site-operation-acceptance-scenarios.md:98</x:v>
      </x:c>
    </x:row>
    <x:row r="185" ht="48" customHeight="1">
      <x:c r="A185" s="44" t="str">
        <x:v>R05-49</x:v>
      </x:c>
      <x:c r="B185" s="45" t="str">
        <x:v>R05</x:v>
      </x:c>
      <x:c r="C185" s="34" t="str">
        <x:v>requirement-documents/05-test-cases/01-site-operations/tc-105-timeout-cancels-unstarted-tasks-atomically.md</x:v>
      </x:c>
      <x:c r="D185" s="49" t="str">
        <x:v>69c32b731df234faf1bfddf77320ad90fc6dc8c89807eeb624a2093798fc516c</x:v>
      </x:c>
      <x:c r="E185" s="40" t="n">
        <x:v>750</x:v>
      </x:c>
      <x:c r="F185" s="34" t="str">
        <x:v>tracked-clean</x:v>
      </x:c>
      <x:c r="G185" s="34" t="str">
        <x:v>tracked-clean</x:v>
      </x:c>
      <x:c r="H185" s="34" t="str">
        <x:v>candidate-acceptance</x:v>
      </x:c>
      <x:c r="I185" s="34" t="str">
        <x:v>R05-C2</x:v>
      </x:c>
      <x:c r="J185" s="34" t="str">
        <x:v>unapproved-acceptance-draft-mixing-FR-AC-with-internal-design</x:v>
      </x:c>
      <x:c r="K185" s="34" t="str">
        <x:v>超时原子取消未开始任务; C2; not executed</x:v>
      </x:c>
      <x:c r="L185" s="34" t="str">
        <x:v>`69c32b731df2` / H2; derived object: FR-031 AC-5</x:v>
      </x:c>
      <x:c r="M185" s="52" t="str">
        <x:v>not-found</x:v>
      </x:c>
      <x:c r="N185" s="52" t="str">
        <x:v>not-found</x:v>
      </x:c>
      <x:c r="O185" s="52" t="str">
        <x:v>not-found</x:v>
      </x:c>
      <x:c r="P185" s="52" t="str">
        <x:v>not-found</x:v>
      </x:c>
      <x:c r="Q185" s="55" t="str">
        <x:v>not-approved-by-this-classification</x:v>
      </x:c>
      <x:c r="R185" s="34" t="str">
        <x:v>split-business-acceptance-from-design-interface-and-safety-claims-before-explicit-approval</x:v>
      </x:c>
      <x:c r="S185" s="34" t="str">
        <x:v>FR-031 AC-5; C2; detailed record: R05-site-operation-acceptance-scenarios.md line 99; execution evidence remains separate</x:v>
      </x:c>
      <x:c r="T185" s="35" t="str">
        <x:v>R05-site-operation-acceptance-scenarios.md:99</x:v>
      </x:c>
    </x:row>
    <x:row r="186" ht="48" customHeight="1">
      <x:c r="A186" s="44" t="str">
        <x:v>R05-50</x:v>
      </x:c>
      <x:c r="B186" s="45" t="str">
        <x:v>R05</x:v>
      </x:c>
      <x:c r="C186" s="34" t="str">
        <x:v>requirement-documents/05-test-cases/01-site-operations/tc-106-partial-load-inactivity-alert-only.md</x:v>
      </x:c>
      <x:c r="D186" s="49" t="str">
        <x:v>f7a413ca08a75995f4e67320b6466b580e07f4e1fb25e4dac8f882e2ae081184</x:v>
      </x:c>
      <x:c r="E186" s="40" t="n">
        <x:v>690</x:v>
      </x:c>
      <x:c r="F186" s="34" t="str">
        <x:v>tracked-clean</x:v>
      </x:c>
      <x:c r="G186" s="34" t="str">
        <x:v>tracked-clean</x:v>
      </x:c>
      <x:c r="H186" s="34" t="str">
        <x:v>candidate-acceptance</x:v>
      </x:c>
      <x:c r="I186" s="34" t="str">
        <x:v>R05-C2</x:v>
      </x:c>
      <x:c r="J186" s="34" t="str">
        <x:v>unapproved-acceptance-draft-mixing-FR-AC-with-internal-design</x:v>
      </x:c>
      <x:c r="K186" s="34" t="str">
        <x:v>部分装货超时只告警; C2; not executed</x:v>
      </x:c>
      <x:c r="L186" s="34" t="str">
        <x:v>`f7a413ca08a7` / H2; derived object: FR-031 AC-7</x:v>
      </x:c>
      <x:c r="M186" s="52" t="str">
        <x:v>not-found</x:v>
      </x:c>
      <x:c r="N186" s="52" t="str">
        <x:v>not-found</x:v>
      </x:c>
      <x:c r="O186" s="52" t="str">
        <x:v>not-found</x:v>
      </x:c>
      <x:c r="P186" s="52" t="str">
        <x:v>not-found</x:v>
      </x:c>
      <x:c r="Q186" s="55" t="str">
        <x:v>not-approved-by-this-classification</x:v>
      </x:c>
      <x:c r="R186" s="34" t="str">
        <x:v>split-business-acceptance-from-design-interface-and-safety-claims-before-explicit-approval</x:v>
      </x:c>
      <x:c r="S186" s="34" t="str">
        <x:v>FR-031 AC-7; C2; detailed record: R05-site-operation-acceptance-scenarios.md line 100; execution evidence remains separate</x:v>
      </x:c>
      <x:c r="T186" s="35" t="str">
        <x:v>R05-site-operation-acceptance-scenarios.md:100</x:v>
      </x:c>
    </x:row>
    <x:row r="187" ht="48" customHeight="1">
      <x:c r="A187" s="44" t="str">
        <x:v>R05-51</x:v>
      </x:c>
      <x:c r="B187" s="45" t="str">
        <x:v>R05</x:v>
      </x:c>
      <x:c r="C187" s="34" t="str">
        <x:v>requirement-documents/05-test-cases/01-site-operations/tc-107-unload-blocks-departure-wait.md</x:v>
      </x:c>
      <x:c r="D187" s="49" t="str">
        <x:v>e4c5adb829984c981b55270983947d4ff315335b4efc78cdd16e99e7de1f2beb</x:v>
      </x:c>
      <x:c r="E187" s="40" t="n">
        <x:v>670</x:v>
      </x:c>
      <x:c r="F187" s="34" t="str">
        <x:v>tracked-clean</x:v>
      </x:c>
      <x:c r="G187" s="34" t="str">
        <x:v>tracked-clean</x:v>
      </x:c>
      <x:c r="H187" s="34" t="str">
        <x:v>candidate-acceptance</x:v>
      </x:c>
      <x:c r="I187" s="34" t="str">
        <x:v>R05-C2</x:v>
      </x:c>
      <x:c r="J187" s="34" t="str">
        <x:v>unapproved-acceptance-draft-mixing-FR-AC-with-internal-design</x:v>
      </x:c>
      <x:c r="K187" s="34" t="str">
        <x:v>待卸任务阻断离站等待; C2; not executed</x:v>
      </x:c>
      <x:c r="L187" s="34" t="str">
        <x:v>`e4c5adb82998` / H2; derived object: FR-031 AC-8</x:v>
      </x:c>
      <x:c r="M187" s="52" t="str">
        <x:v>not-found</x:v>
      </x:c>
      <x:c r="N187" s="52" t="str">
        <x:v>not-found</x:v>
      </x:c>
      <x:c r="O187" s="52" t="str">
        <x:v>not-found</x:v>
      </x:c>
      <x:c r="P187" s="52" t="str">
        <x:v>not-found</x:v>
      </x:c>
      <x:c r="Q187" s="55" t="str">
        <x:v>not-approved-by-this-classification</x:v>
      </x:c>
      <x:c r="R187" s="34" t="str">
        <x:v>split-business-acceptance-from-design-interface-and-safety-claims-before-explicit-approval</x:v>
      </x:c>
      <x:c r="S187" s="34" t="str">
        <x:v>FR-031 AC-8; C2; detailed record: R05-site-operation-acceptance-scenarios.md line 101; execution evidence remains separate</x:v>
      </x:c>
      <x:c r="T187" s="35" t="str">
        <x:v>R05-site-operation-acceptance-scenarios.md:101</x:v>
      </x:c>
    </x:row>
    <x:row r="188" ht="48" customHeight="1">
      <x:c r="A188" s="44" t="str">
        <x:v>R05-52</x:v>
      </x:c>
      <x:c r="B188" s="45" t="str">
        <x:v>R05</x:v>
      </x:c>
      <x:c r="C188" s="34" t="str">
        <x:v>requirement-documents/05-test-cases/01-site-operations/tc-108-disconnect-invalidates-deadline.md</x:v>
      </x:c>
      <x:c r="D188" s="49" t="str">
        <x:v>74e0f2bb07e519829a992180eceb96a6af396a39c856d7eb8e7233a35d54f036</x:v>
      </x:c>
      <x:c r="E188" s="40" t="n">
        <x:v>635</x:v>
      </x:c>
      <x:c r="F188" s="34" t="str">
        <x:v>tracked-clean</x:v>
      </x:c>
      <x:c r="G188" s="34" t="str">
        <x:v>tracked-clean</x:v>
      </x:c>
      <x:c r="H188" s="34" t="str">
        <x:v>candidate-acceptance</x:v>
      </x:c>
      <x:c r="I188" s="34" t="str">
        <x:v>R05-C2</x:v>
      </x:c>
      <x:c r="J188" s="34" t="str">
        <x:v>unapproved-acceptance-draft-mixing-FR-AC-with-internal-design</x:v>
      </x:c>
      <x:c r="K188" s="34" t="str">
        <x:v>断联使截止时间失效; C2; not executed</x:v>
      </x:c>
      <x:c r="L188" s="34" t="str">
        <x:v>`74e0f2bb07e5` / H2; derived object: FR-031 AC-9</x:v>
      </x:c>
      <x:c r="M188" s="52" t="str">
        <x:v>not-found</x:v>
      </x:c>
      <x:c r="N188" s="52" t="str">
        <x:v>not-found</x:v>
      </x:c>
      <x:c r="O188" s="52" t="str">
        <x:v>not-found</x:v>
      </x:c>
      <x:c r="P188" s="52" t="str">
        <x:v>not-found</x:v>
      </x:c>
      <x:c r="Q188" s="55" t="str">
        <x:v>not-approved-by-this-classification</x:v>
      </x:c>
      <x:c r="R188" s="34" t="str">
        <x:v>split-business-acceptance-from-design-interface-and-safety-claims-before-explicit-approval</x:v>
      </x:c>
      <x:c r="S188" s="34" t="str">
        <x:v>FR-031 AC-9; C2; detailed record: R05-site-operation-acceptance-scenarios.md line 102; execution evidence remains separate</x:v>
      </x:c>
      <x:c r="T188" s="35" t="str">
        <x:v>R05-site-operation-acceptance-scenarios.md:102</x:v>
      </x:c>
    </x:row>
    <x:row r="189" ht="48" customHeight="1">
      <x:c r="A189" s="44" t="str">
        <x:v>R05-53</x:v>
      </x:c>
      <x:c r="B189" s="45" t="str">
        <x:v>R05</x:v>
      </x:c>
      <x:c r="C189" s="34" t="str">
        <x:v>requirement-documents/05-test-cases/01-site-operations/tc-109-operation-vs-timeout-race.md</x:v>
      </x:c>
      <x:c r="D189" s="49" t="str">
        <x:v>25938f2759aa4c913e98d66e9c2ed018cc9115d7e20e84b07fae6b1c26fb0533</x:v>
      </x:c>
      <x:c r="E189" s="40" t="n">
        <x:v>650</x:v>
      </x:c>
      <x:c r="F189" s="34" t="str">
        <x:v>tracked-clean</x:v>
      </x:c>
      <x:c r="G189" s="34" t="str">
        <x:v>tracked-clean</x:v>
      </x:c>
      <x:c r="H189" s="34" t="str">
        <x:v>candidate-acceptance</x:v>
      </x:c>
      <x:c r="I189" s="34" t="str">
        <x:v>R05-C2</x:v>
      </x:c>
      <x:c r="J189" s="34" t="str">
        <x:v>unapproved-acceptance-draft-mixing-FR-AC-with-internal-design</x:v>
      </x:c>
      <x:c r="K189" s="34" t="str">
        <x:v>操作与超时竞态; C2; not executed</x:v>
      </x:c>
      <x:c r="L189" s="34" t="str">
        <x:v>`25938f2759aa` / H2; derived object: FR-031 AC-6</x:v>
      </x:c>
      <x:c r="M189" s="52" t="str">
        <x:v>not-found</x:v>
      </x:c>
      <x:c r="N189" s="52" t="str">
        <x:v>not-found</x:v>
      </x:c>
      <x:c r="O189" s="52" t="str">
        <x:v>not-found</x:v>
      </x:c>
      <x:c r="P189" s="52" t="str">
        <x:v>not-found</x:v>
      </x:c>
      <x:c r="Q189" s="55" t="str">
        <x:v>not-approved-by-this-classification</x:v>
      </x:c>
      <x:c r="R189" s="34" t="str">
        <x:v>split-business-acceptance-from-design-interface-and-safety-claims-before-explicit-approval</x:v>
      </x:c>
      <x:c r="S189" s="34" t="str">
        <x:v>FR-031 AC-6; C2; detailed record: R05-site-operation-acceptance-scenarios.md line 103; execution evidence remains separate</x:v>
      </x:c>
      <x:c r="T189" s="35" t="str">
        <x:v>R05-site-operation-acceptance-scenarios.md:103</x:v>
      </x:c>
    </x:row>
    <x:row r="190" ht="48" customHeight="1">
      <x:c r="A190" s="44" t="str">
        <x:v>R05-54</x:v>
      </x:c>
      <x:c r="B190" s="45" t="str">
        <x:v>R05</x:v>
      </x:c>
      <x:c r="C190" s="34" t="str">
        <x:v>requirement-documents/05-test-cases/01-site-operations/tc-110-post-closure-routing-without-next-stop.md</x:v>
      </x:c>
      <x:c r="D190" s="49" t="str">
        <x:v>60d7e769b112067507399398410a5ff9cb633c33590c2ab7b70d688e1de5d1d5</x:v>
      </x:c>
      <x:c r="E190" s="40" t="n">
        <x:v>657</x:v>
      </x:c>
      <x:c r="F190" s="34" t="str">
        <x:v>tracked-clean</x:v>
      </x:c>
      <x:c r="G190" s="34" t="str">
        <x:v>tracked-clean</x:v>
      </x:c>
      <x:c r="H190" s="34" t="str">
        <x:v>candidate-acceptance</x:v>
      </x:c>
      <x:c r="I190" s="34" t="str">
        <x:v>R05-C2</x:v>
      </x:c>
      <x:c r="J190" s="34" t="str">
        <x:v>unapproved-acceptance-draft-mixing-FR-AC-with-internal-design</x:v>
      </x:c>
      <x:c r="K190" s="34" t="str">
        <x:v>无下一站的载货/空载分流; C2; not executed</x:v>
      </x:c>
      <x:c r="L190" s="34" t="str">
        <x:v>`60d7e769b112` / H2; derived object: FR-031 AC-11</x:v>
      </x:c>
      <x:c r="M190" s="52" t="str">
        <x:v>not-found</x:v>
      </x:c>
      <x:c r="N190" s="52" t="str">
        <x:v>not-found</x:v>
      </x:c>
      <x:c r="O190" s="52" t="str">
        <x:v>not-found</x:v>
      </x:c>
      <x:c r="P190" s="52" t="str">
        <x:v>not-found</x:v>
      </x:c>
      <x:c r="Q190" s="55" t="str">
        <x:v>not-approved-by-this-classification</x:v>
      </x:c>
      <x:c r="R190" s="34" t="str">
        <x:v>split-business-acceptance-from-design-interface-and-safety-claims-before-explicit-approval</x:v>
      </x:c>
      <x:c r="S190" s="34" t="str">
        <x:v>FR-031 AC-11; C2; detailed record: R05-site-operation-acceptance-scenarios.md line 104; execution evidence remains separate</x:v>
      </x:c>
      <x:c r="T190" s="35" t="str">
        <x:v>R05-site-operation-acceptance-scenarios.md:104</x:v>
      </x:c>
    </x:row>
    <x:row r="191" ht="48" customHeight="1">
      <x:c r="A191" s="44" t="str">
        <x:v>R05-55</x:v>
      </x:c>
      <x:c r="B191" s="45" t="str">
        <x:v>R05</x:v>
      </x:c>
      <x:c r="C191" s="34" t="str">
        <x:v>requirement-documents/05-test-cases/01-site-operations/tc-111-stop-closure-handoff-before-movement.md</x:v>
      </x:c>
      <x:c r="D191" s="49" t="str">
        <x:v>3034a13f88655376d4feb711d5f0925c8cbbf093d84251dd594a436a78c19114</x:v>
      </x:c>
      <x:c r="E191" s="40" t="n">
        <x:v>802</x:v>
      </x:c>
      <x:c r="F191" s="34" t="str">
        <x:v>tracked-clean</x:v>
      </x:c>
      <x:c r="G191" s="34" t="str">
        <x:v>tracked-clean</x:v>
      </x:c>
      <x:c r="H191" s="34" t="str">
        <x:v>candidate-acceptance</x:v>
      </x:c>
      <x:c r="I191" s="34" t="str">
        <x:v>R05-C2</x:v>
      </x:c>
      <x:c r="J191" s="34" t="str">
        <x:v>unapproved-acceptance-draft-mixing-FR-AC-with-internal-design</x:v>
      </x:c>
      <x:c r="K191" s="34" t="str">
        <x:v>会话/投影/安全核验先于移动; C2; not executed</x:v>
      </x:c>
      <x:c r="L191" s="34" t="str">
        <x:v>`3034a13f8865` / H2; derived object: FR-031 AC-10</x:v>
      </x:c>
      <x:c r="M191" s="52" t="str">
        <x:v>not-found</x:v>
      </x:c>
      <x:c r="N191" s="52" t="str">
        <x:v>not-found</x:v>
      </x:c>
      <x:c r="O191" s="52" t="str">
        <x:v>not-found</x:v>
      </x:c>
      <x:c r="P191" s="52" t="str">
        <x:v>not-found</x:v>
      </x:c>
      <x:c r="Q191" s="55" t="str">
        <x:v>not-approved-by-this-classification</x:v>
      </x:c>
      <x:c r="R191" s="34" t="str">
        <x:v>split-business-acceptance-from-design-interface-and-safety-claims-before-explicit-approval</x:v>
      </x:c>
      <x:c r="S191" s="34" t="str">
        <x:v>FR-031 AC-10; C2; detailed record: R05-site-operation-acceptance-scenarios.md line 105; execution evidence remains separate</x:v>
      </x:c>
      <x:c r="T191" s="35" t="str">
        <x:v>R05-site-operation-acceptance-scenarios.md:105</x:v>
      </x:c>
    </x:row>
    <x:row r="192" ht="48" customHeight="1">
      <x:c r="A192" s="44" t="str">
        <x:v>R05-56</x:v>
      </x:c>
      <x:c r="B192" s="45" t="str">
        <x:v>R05</x:v>
      </x:c>
      <x:c r="C192" s="34" t="str">
        <x:v>requirement-documents/05-test-cases/01-site-operations/tc-112-movement-failure-does-not-reopen-stop.md</x:v>
      </x:c>
      <x:c r="D192" s="49" t="str">
        <x:v>62f10342fa85b7667092082a0fa0a7ef72848ef2952b912ade611da194b50652</x:v>
      </x:c>
      <x:c r="E192" s="40" t="n">
        <x:v>694</x:v>
      </x:c>
      <x:c r="F192" s="34" t="str">
        <x:v>tracked-clean</x:v>
      </x:c>
      <x:c r="G192" s="34" t="str">
        <x:v>tracked-clean</x:v>
      </x:c>
      <x:c r="H192" s="34" t="str">
        <x:v>candidate-acceptance</x:v>
      </x:c>
      <x:c r="I192" s="34" t="str">
        <x:v>R05-C2</x:v>
      </x:c>
      <x:c r="J192" s="34" t="str">
        <x:v>unapproved-acceptance-draft-mixing-FR-AC-with-internal-design</x:v>
      </x:c>
      <x:c r="K192" s="34" t="str">
        <x:v>移动失败不重开本站; C2; not executed</x:v>
      </x:c>
      <x:c r="L192" s="34" t="str">
        <x:v>`62f10342fa85` / H2; derived object: FR-031 AC-12</x:v>
      </x:c>
      <x:c r="M192" s="52" t="str">
        <x:v>not-found</x:v>
      </x:c>
      <x:c r="N192" s="52" t="str">
        <x:v>not-found</x:v>
      </x:c>
      <x:c r="O192" s="52" t="str">
        <x:v>not-found</x:v>
      </x:c>
      <x:c r="P192" s="52" t="str">
        <x:v>not-found</x:v>
      </x:c>
      <x:c r="Q192" s="55" t="str">
        <x:v>not-approved-by-this-classification</x:v>
      </x:c>
      <x:c r="R192" s="34" t="str">
        <x:v>split-business-acceptance-from-design-interface-and-safety-claims-before-explicit-approval</x:v>
      </x:c>
      <x:c r="S192" s="34" t="str">
        <x:v>FR-031 AC-12; C2; detailed record: R05-site-operation-acceptance-scenarios.md line 106; execution evidence remains separate</x:v>
      </x:c>
      <x:c r="T192" s="35" t="str">
        <x:v>R05-site-operation-acceptance-scenarios.md:106</x:v>
      </x:c>
    </x:row>
    <x:row r="193" ht="48" customHeight="1">
      <x:c r="A193" s="44" t="str">
        <x:v>R05-57</x:v>
      </x:c>
      <x:c r="B193" s="45" t="str">
        <x:v>R05</x:v>
      </x:c>
      <x:c r="C193" s="34" t="str">
        <x:v>requirement-documents/05-test-cases/01-site-operations/tc-113-load-batch-auto-commit-and-wait-reset.md</x:v>
      </x:c>
      <x:c r="D193" s="49" t="str">
        <x:v>ee9c4df34a115635b18b5772ee148591164070f303d7dd305caac044cb52a5bb</x:v>
      </x:c>
      <x:c r="E193" s="40" t="n">
        <x:v>919</x:v>
      </x:c>
      <x:c r="F193" s="34" t="str">
        <x:v>tracked-clean</x:v>
      </x:c>
      <x:c r="G193" s="34" t="str">
        <x:v>tracked-clean</x:v>
      </x:c>
      <x:c r="H193" s="34" t="str">
        <x:v>candidate-acceptance</x:v>
      </x:c>
      <x:c r="I193" s="34" t="str">
        <x:v>R05-C2</x:v>
      </x:c>
      <x:c r="J193" s="34" t="str">
        <x:v>unapproved-acceptance-draft-mixing-FR-AC-with-internal-design</x:v>
      </x:c>
      <x:c r="K193" s="34" t="str">
        <x:v>LoadBatch 自动提交与重计时; C2; not executed</x:v>
      </x:c>
      <x:c r="L193" s="34" t="str">
        <x:v>`ee9c4df34a11` / H2; derived object: FR-002 AC-5、FR-031 AC-2</x:v>
      </x:c>
      <x:c r="M193" s="52" t="str">
        <x:v>not-found</x:v>
      </x:c>
      <x:c r="N193" s="52" t="str">
        <x:v>not-found</x:v>
      </x:c>
      <x:c r="O193" s="52" t="str">
        <x:v>not-found</x:v>
      </x:c>
      <x:c r="P193" s="52" t="str">
        <x:v>not-found</x:v>
      </x:c>
      <x:c r="Q193" s="55" t="str">
        <x:v>not-approved-by-this-classification</x:v>
      </x:c>
      <x:c r="R193" s="34" t="str">
        <x:v>split-business-acceptance-from-design-interface-and-safety-claims-before-explicit-approval</x:v>
      </x:c>
      <x:c r="S193" s="34" t="str">
        <x:v>FR-002 AC-5、FR-031 AC-2; C2; detailed record: R05-site-operation-acceptance-scenarios.md line 107; execution evidence remains separate</x:v>
      </x:c>
      <x:c r="T193" s="35" t="str">
        <x:v>R05-site-operation-acceptance-scenarios.md:107</x:v>
      </x:c>
    </x:row>
    <x:row r="194" ht="48" customHeight="1">
      <x:c r="A194" s="44" t="str">
        <x:v>R05-58</x:v>
      </x:c>
      <x:c r="B194" s="45" t="str">
        <x:v>R05</x:v>
      </x:c>
      <x:c r="C194" s="34" t="str">
        <x:v>requirement-documents/05-test-cases/01-site-operations/tc-114-load-hardware-fault-holds-without-replacement-or-auto-clear.md</x:v>
      </x:c>
      <x:c r="D194" s="49" t="str">
        <x:v>31bfbac4df4c8ea112d25f575e9af69d00936bca9b18949f4886b8f1be0ea9d5</x:v>
      </x:c>
      <x:c r="E194" s="40" t="n">
        <x:v>1322</x:v>
      </x:c>
      <x:c r="F194" s="34" t="str">
        <x:v>tracked-clean</x:v>
      </x:c>
      <x:c r="G194" s="34" t="str">
        <x:v>tracked-clean</x:v>
      </x:c>
      <x:c r="H194" s="34" t="str">
        <x:v>candidate-acceptance</x:v>
      </x:c>
      <x:c r="I194" s="34" t="str">
        <x:v>R05-C2</x:v>
      </x:c>
      <x:c r="J194" s="34" t="str">
        <x:v>unapproved-acceptance-draft-mixing-FR-AC-with-internal-design</x:v>
      </x:c>
      <x:c r="K194" s="34" t="str">
        <x:v>硬件故障保持、不换仓/不自动清空; C2; not executed</x:v>
      </x:c>
      <x:c r="L194" s="34" t="str">
        <x:v>`31bfbac4df4c` / H2; derived object: FR-002 AC-4/4.1</x:v>
      </x:c>
      <x:c r="M194" s="52" t="str">
        <x:v>not-found</x:v>
      </x:c>
      <x:c r="N194" s="52" t="str">
        <x:v>not-found</x:v>
      </x:c>
      <x:c r="O194" s="52" t="str">
        <x:v>not-found</x:v>
      </x:c>
      <x:c r="P194" s="52" t="str">
        <x:v>not-found</x:v>
      </x:c>
      <x:c r="Q194" s="55" t="str">
        <x:v>not-approved-by-this-classification</x:v>
      </x:c>
      <x:c r="R194" s="34" t="str">
        <x:v>split-business-acceptance-from-design-interface-and-safety-claims-before-explicit-approval</x:v>
      </x:c>
      <x:c r="S194" s="34" t="str">
        <x:v>FR-002 AC-4/4.1; C2; detailed record: R05-site-operation-acceptance-scenarios.md line 108; execution evidence remains separate</x:v>
      </x:c>
      <x:c r="T194" s="35" t="str">
        <x:v>R05-site-operation-acceptance-scenarios.md:108</x:v>
      </x:c>
    </x:row>
    <x:row r="195" ht="48" customHeight="1">
      <x:c r="A195" s="44" t="str">
        <x:v>R05-59</x:v>
      </x:c>
      <x:c r="B195" s="45" t="str">
        <x:v>R05</x:v>
      </x:c>
      <x:c r="C195" s="34" t="str">
        <x:v>requirement-documents/05-test-cases/01-site-operations/tc-115-hardware-signal-recovery-still-requires-manual-confirmation.md</x:v>
      </x:c>
      <x:c r="D195" s="49" t="str">
        <x:v>688c201c3832c4986f17a370228f5947d843b84d1e2e1afb5b4b7c1eef60513c</x:v>
      </x:c>
      <x:c r="E195" s="40" t="n">
        <x:v>1440</x:v>
      </x:c>
      <x:c r="F195" s="34" t="str">
        <x:v>tracked-clean</x:v>
      </x:c>
      <x:c r="G195" s="34" t="str">
        <x:v>tracked-clean</x:v>
      </x:c>
      <x:c r="H195" s="34" t="str">
        <x:v>candidate-acceptance</x:v>
      </x:c>
      <x:c r="I195" s="34" t="str">
        <x:v>R05-C2</x:v>
      </x:c>
      <x:c r="J195" s="34" t="str">
        <x:v>unapproved-acceptance-draft-mixing-FR-AC-with-internal-design</x:v>
      </x:c>
      <x:c r="K195" s="34" t="str">
        <x:v>信号恢复仍需维护确认和服务端授权; C2; not executed</x:v>
      </x:c>
      <x:c r="L195" s="34" t="str">
        <x:v>`688c201c3832` / H2; derived object: FR-002 AC-4.2</x:v>
      </x:c>
      <x:c r="M195" s="52" t="str">
        <x:v>not-found</x:v>
      </x:c>
      <x:c r="N195" s="52" t="str">
        <x:v>not-found</x:v>
      </x:c>
      <x:c r="O195" s="52" t="str">
        <x:v>not-found</x:v>
      </x:c>
      <x:c r="P195" s="52" t="str">
        <x:v>not-found</x:v>
      </x:c>
      <x:c r="Q195" s="55" t="str">
        <x:v>not-approved-by-this-classification</x:v>
      </x:c>
      <x:c r="R195" s="34" t="str">
        <x:v>split-business-acceptance-from-design-interface-and-safety-claims-before-explicit-approval</x:v>
      </x:c>
      <x:c r="S195" s="34" t="str">
        <x:v>FR-002 AC-4.2; C2; detailed record: R05-site-operation-acceptance-scenarios.md line 109; execution evidence remains separate</x:v>
      </x:c>
      <x:c r="T195" s="35" t="str">
        <x:v>R05-site-operation-acceptance-scenarios.md:109</x:v>
      </x:c>
    </x:row>
    <x:row r="196" ht="48" customHeight="1">
      <x:c r="A196" s="44" t="str">
        <x:v>R05-60</x:v>
      </x:c>
      <x:c r="B196" s="45" t="str">
        <x:v>R05</x:v>
      </x:c>
      <x:c r="C196" s="34" t="str">
        <x:v>requirement-documents/05-test-cases/01-site-operations/tc-116-production-operator-cannot-confirm-hardware-recovery.md</x:v>
      </x:c>
      <x:c r="D196" s="49" t="str">
        <x:v>41e4970cf2af52246a16f7e651d348a3e02dbf0deeeb3e1ac0ab90cf90c52f70</x:v>
      </x:c>
      <x:c r="E196" s="40" t="n">
        <x:v>906</x:v>
      </x:c>
      <x:c r="F196" s="34" t="str">
        <x:v>tracked-clean</x:v>
      </x:c>
      <x:c r="G196" s="34" t="str">
        <x:v>tracked-clean</x:v>
      </x:c>
      <x:c r="H196" s="34" t="str">
        <x:v>candidate-acceptance</x:v>
      </x:c>
      <x:c r="I196" s="34" t="str">
        <x:v>R05-C2</x:v>
      </x:c>
      <x:c r="J196" s="34" t="str">
        <x:v>unapproved-acceptance-draft-mixing-FR-AC-with-internal-design</x:v>
      </x:c>
      <x:c r="K196" s="34" t="str">
        <x:v>普通生产操作员越权恢复拒绝; C2; not executed</x:v>
      </x:c>
      <x:c r="L196" s="34" t="str">
        <x:v>`41e4970cf2af` / H2; derived object: FR-002 AC-4.3</x:v>
      </x:c>
      <x:c r="M196" s="52" t="str">
        <x:v>not-found</x:v>
      </x:c>
      <x:c r="N196" s="52" t="str">
        <x:v>not-found</x:v>
      </x:c>
      <x:c r="O196" s="52" t="str">
        <x:v>not-found</x:v>
      </x:c>
      <x:c r="P196" s="52" t="str">
        <x:v>not-found</x:v>
      </x:c>
      <x:c r="Q196" s="55" t="str">
        <x:v>not-approved-by-this-classification</x:v>
      </x:c>
      <x:c r="R196" s="34" t="str">
        <x:v>split-business-acceptance-from-design-interface-and-safety-claims-before-explicit-approval</x:v>
      </x:c>
      <x:c r="S196" s="34" t="str">
        <x:v>FR-002 AC-4.3; C2; detailed record: R05-site-operation-acceptance-scenarios.md line 110; execution evidence remains separate</x:v>
      </x:c>
      <x:c r="T196" s="35" t="str">
        <x:v>R05-site-operation-acceptance-scenarios.md:110</x:v>
      </x:c>
    </x:row>
    <x:row r="197" ht="48" customHeight="1">
      <x:c r="A197" s="44" t="str">
        <x:v>R05-61</x:v>
      </x:c>
      <x:c r="B197" s="45" t="str">
        <x:v>R05</x:v>
      </x:c>
      <x:c r="C197" s="34" t="str">
        <x:v>requirement-documents/05-test-cases/01-site-operations/tc-117-supervisor-decides-load-compensation.md</x:v>
      </x:c>
      <x:c r="D197" s="49" t="str">
        <x:v>1aef362e85419d13b25b68b0297d8c29366b14862798ff59364cbadb107c04cf</x:v>
      </x:c>
      <x:c r="E197" s="40" t="n">
        <x:v>1377</x:v>
      </x:c>
      <x:c r="F197" s="34" t="str">
        <x:v>tracked-clean</x:v>
      </x:c>
      <x:c r="G197" s="34" t="str">
        <x:v>tracked-clean</x:v>
      </x:c>
      <x:c r="H197" s="34" t="str">
        <x:v>candidate-acceptance</x:v>
      </x:c>
      <x:c r="I197" s="34" t="str">
        <x:v>R05-C2</x:v>
      </x:c>
      <x:c r="J197" s="34" t="str">
        <x:v>unapproved-acceptance-draft-mixing-FR-AC-with-internal-design</x:v>
      </x:c>
      <x:c r="K197" s="34" t="str">
        <x:v>R-09 整批清空决定; C2; not executed</x:v>
      </x:c>
      <x:c r="L197" s="34" t="str">
        <x:v>`1aef362e8541` / H2; derived object: FR-002 AC-4.4</x:v>
      </x:c>
      <x:c r="M197" s="52" t="str">
        <x:v>not-found</x:v>
      </x:c>
      <x:c r="N197" s="52" t="str">
        <x:v>not-found</x:v>
      </x:c>
      <x:c r="O197" s="52" t="str">
        <x:v>not-found</x:v>
      </x:c>
      <x:c r="P197" s="52" t="str">
        <x:v>not-found</x:v>
      </x:c>
      <x:c r="Q197" s="55" t="str">
        <x:v>not-approved-by-this-classification</x:v>
      </x:c>
      <x:c r="R197" s="34" t="str">
        <x:v>split-business-acceptance-from-design-interface-and-safety-claims-before-explicit-approval</x:v>
      </x:c>
      <x:c r="S197" s="34" t="str">
        <x:v>FR-002 AC-4.4; C2; detailed record: R05-site-operation-acceptance-scenarios.md line 111; execution evidence remains separate</x:v>
      </x:c>
      <x:c r="T197" s="35" t="str">
        <x:v>R05-site-operation-acceptance-scenarios.md:111</x:v>
      </x:c>
    </x:row>
    <x:row r="198" ht="48" customHeight="1">
      <x:c r="A198" s="44" t="str">
        <x:v>R05-62</x:v>
      </x:c>
      <x:c r="B198" s="45" t="str">
        <x:v>R05</x:v>
      </x:c>
      <x:c r="C198" s="34" t="str">
        <x:v>requirement-documents/05-test-cases/01-site-operations/tc-118-maintenance-confirmation-cannot-replace-compensation-decision.md</x:v>
      </x:c>
      <x:c r="D198" s="49" t="str">
        <x:v>fd8dcf27a226e21de9cd441fb4587787dac1a377311314dc3c5e569c818ddea3</x:v>
      </x:c>
      <x:c r="E198" s="40" t="n">
        <x:v>1519</x:v>
      </x:c>
      <x:c r="F198" s="34" t="str">
        <x:v>tracked-clean</x:v>
      </x:c>
      <x:c r="G198" s="34" t="str">
        <x:v>tracked-clean</x:v>
      </x:c>
      <x:c r="H198" s="34" t="str">
        <x:v>candidate-acceptance</x:v>
      </x:c>
      <x:c r="I198" s="34" t="str">
        <x:v>R05-C2</x:v>
      </x:c>
      <x:c r="J198" s="34" t="str">
        <x:v>unapproved-acceptance-draft-mixing-FR-AC-with-internal-design</x:v>
      </x:c>
      <x:c r="K198" s="34" t="str">
        <x:v>维护确认与生产决定分权; C2; not executed</x:v>
      </x:c>
      <x:c r="L198" s="34" t="str">
        <x:v>`fd8dcf27a226` / H2; derived object: FR-002 AC-4.5</x:v>
      </x:c>
      <x:c r="M198" s="52" t="str">
        <x:v>not-found</x:v>
      </x:c>
      <x:c r="N198" s="52" t="str">
        <x:v>not-found</x:v>
      </x:c>
      <x:c r="O198" s="52" t="str">
        <x:v>not-found</x:v>
      </x:c>
      <x:c r="P198" s="52" t="str">
        <x:v>not-found</x:v>
      </x:c>
      <x:c r="Q198" s="55" t="str">
        <x:v>not-approved-by-this-classification</x:v>
      </x:c>
      <x:c r="R198" s="34" t="str">
        <x:v>split-business-acceptance-from-design-interface-and-safety-claims-before-explicit-approval</x:v>
      </x:c>
      <x:c r="S198" s="34" t="str">
        <x:v>FR-002 AC-4.5; C2; detailed record: R05-site-operation-acceptance-scenarios.md line 112; execution evidence remains separate</x:v>
      </x:c>
      <x:c r="T198" s="35" t="str">
        <x:v>R05-site-operation-acceptance-scenarios.md:112</x:v>
      </x:c>
    </x:row>
    <x:row r="199" ht="48" customHeight="1">
      <x:c r="A199" s="44" t="str">
        <x:v>R05-63</x:v>
      </x:c>
      <x:c r="B199" s="45" t="str">
        <x:v>R05</x:v>
      </x:c>
      <x:c r="C199" s="34" t="str">
        <x:v>requirement-documents/05-test-cases/01-site-operations/tc-119-hardware-fault-cannot-bypass-compensation-decision-via-normal-cancel.md</x:v>
      </x:c>
      <x:c r="D199" s="49" t="str">
        <x:v>ac7c38fd837086b67709844f9f61522abf4ee7c422593ee3eed9f6a27196fd16</x:v>
      </x:c>
      <x:c r="E199" s="40" t="n">
        <x:v>1072</x:v>
      </x:c>
      <x:c r="F199" s="34" t="str">
        <x:v>tracked-clean</x:v>
      </x:c>
      <x:c r="G199" s="34" t="str">
        <x:v>tracked-clean</x:v>
      </x:c>
      <x:c r="H199" s="34" t="str">
        <x:v>candidate-acceptance</x:v>
      </x:c>
      <x:c r="I199" s="34" t="str">
        <x:v>R05-C2</x:v>
      </x:c>
      <x:c r="J199" s="34" t="str">
        <x:v>unapproved-acceptance-draft-mixing-FR-AC-with-internal-design</x:v>
      </x:c>
      <x:c r="K199" s="34" t="str">
        <x:v>普通取消不得绕过补偿决定; C2; not executed</x:v>
      </x:c>
      <x:c r="L199" s="34" t="str">
        <x:v>`ac7c38fd8370` / H2; derived object: FR-007 AC-10</x:v>
      </x:c>
      <x:c r="M199" s="52" t="str">
        <x:v>not-found</x:v>
      </x:c>
      <x:c r="N199" s="52" t="str">
        <x:v>not-found</x:v>
      </x:c>
      <x:c r="O199" s="52" t="str">
        <x:v>not-found</x:v>
      </x:c>
      <x:c r="P199" s="52" t="str">
        <x:v>not-found</x:v>
      </x:c>
      <x:c r="Q199" s="55" t="str">
        <x:v>not-approved-by-this-classification</x:v>
      </x:c>
      <x:c r="R199" s="34" t="str">
        <x:v>split-business-acceptance-from-design-interface-and-safety-claims-before-explicit-approval</x:v>
      </x:c>
      <x:c r="S199" s="34" t="str">
        <x:v>FR-007 AC-10; C2; detailed record: R05-site-operation-acceptance-scenarios.md line 113; execution evidence remains separate</x:v>
      </x:c>
      <x:c r="T199" s="35" t="str">
        <x:v>R05-site-operation-acceptance-scenarios.md:113</x:v>
      </x:c>
    </x:row>
    <x:row r="200" ht="48" customHeight="1">
      <x:c r="A200" s="44" t="str">
        <x:v>R05-64</x:v>
      </x:c>
      <x:c r="B200" s="45" t="str">
        <x:v>R05</x:v>
      </x:c>
      <x:c r="C200" s="34" t="str">
        <x:v>requirement-documents/05-test-cases/01-site-operations/tc-120-compensation-decision-requires-step-up-authentication.md</x:v>
      </x:c>
      <x:c r="D200" s="49" t="str">
        <x:v>23ad9c7eeba73f496105b474cbdff9325654b862492d47de909eae7de65a5924</x:v>
      </x:c>
      <x:c r="E200" s="40" t="n">
        <x:v>1962</x:v>
      </x:c>
      <x:c r="F200" s="34" t="str">
        <x:v>tracked-clean</x:v>
      </x:c>
      <x:c r="G200" s="34" t="str">
        <x:v>tracked-clean</x:v>
      </x:c>
      <x:c r="H200" s="34" t="str">
        <x:v>candidate-acceptance</x:v>
      </x:c>
      <x:c r="I200" s="34" t="str">
        <x:v>R05-C2</x:v>
      </x:c>
      <x:c r="J200" s="34" t="str">
        <x:v>unapproved-acceptance-draft-mixing-FR-AC-with-internal-design</x:v>
      </x:c>
      <x:c r="K200" s="34" t="str">
        <x:v>单次强绑定即时二次认证; C2; not executed</x:v>
      </x:c>
      <x:c r="L200" s="34" t="str">
        <x:v>`23ad9c7eeba7` / H2; derived object: FR-002 AC-4.6/4.6.1</x:v>
      </x:c>
      <x:c r="M200" s="52" t="str">
        <x:v>not-found</x:v>
      </x:c>
      <x:c r="N200" s="52" t="str">
        <x:v>not-found</x:v>
      </x:c>
      <x:c r="O200" s="52" t="str">
        <x:v>not-found</x:v>
      </x:c>
      <x:c r="P200" s="52" t="str">
        <x:v>not-found</x:v>
      </x:c>
      <x:c r="Q200" s="55" t="str">
        <x:v>not-approved-by-this-classification</x:v>
      </x:c>
      <x:c r="R200" s="34" t="str">
        <x:v>split-business-acceptance-from-design-interface-and-safety-claims-before-explicit-approval</x:v>
      </x:c>
      <x:c r="S200" s="34" t="str">
        <x:v>FR-002 AC-4.6/4.6.1; C2; detailed record: R05-site-operation-acceptance-scenarios.md line 114; execution evidence remains separate</x:v>
      </x:c>
      <x:c r="T200" s="35" t="str">
        <x:v>R05-site-operation-acceptance-scenarios.md:114</x:v>
      </x:c>
    </x:row>
    <x:row r="201" ht="48" customHeight="1">
      <x:c r="A201" s="44" t="str">
        <x:v>R05-65</x:v>
      </x:c>
      <x:c r="B201" s="45" t="str">
        <x:v>R05</x:v>
      </x:c>
      <x:c r="C201" s="34" t="str">
        <x:v>requirement-documents/05-test-cases/01-site-operations/tc-121-supervisor-approval-does-not-replace-sublot-operator.md</x:v>
      </x:c>
      <x:c r="D201" s="49" t="str">
        <x:v>a01e2e5905f06eaf594260fedd91f1bdfed6eb7795fc12a9f157fd185026abe6</x:v>
      </x:c>
      <x:c r="E201" s="40" t="n">
        <x:v>1079</x:v>
      </x:c>
      <x:c r="F201" s="34" t="str">
        <x:v>tracked-clean</x:v>
      </x:c>
      <x:c r="G201" s="34" t="str">
        <x:v>tracked-clean</x:v>
      </x:c>
      <x:c r="H201" s="34" t="str">
        <x:v>candidate-acceptance</x:v>
      </x:c>
      <x:c r="I201" s="34" t="str">
        <x:v>R05-C2</x:v>
      </x:c>
      <x:c r="J201" s="34" t="str">
        <x:v>unapproved-acceptance-draft-mixing-FR-AC-with-internal-design</x:v>
      </x:c>
      <x:c r="K201" s="34" t="str">
        <x:v>审批人不替换 Sublot 操作员; C2; not executed</x:v>
      </x:c>
      <x:c r="L201" s="34" t="str">
        <x:v>`a01e2e5905f0` / H2; derived object: FR-012 AC-5</x:v>
      </x:c>
      <x:c r="M201" s="52" t="str">
        <x:v>not-found</x:v>
      </x:c>
      <x:c r="N201" s="52" t="str">
        <x:v>not-found</x:v>
      </x:c>
      <x:c r="O201" s="52" t="str">
        <x:v>not-found</x:v>
      </x:c>
      <x:c r="P201" s="52" t="str">
        <x:v>not-found</x:v>
      </x:c>
      <x:c r="Q201" s="55" t="str">
        <x:v>not-approved-by-this-classification</x:v>
      </x:c>
      <x:c r="R201" s="34" t="str">
        <x:v>split-business-acceptance-from-design-interface-and-safety-claims-before-explicit-approval</x:v>
      </x:c>
      <x:c r="S201" s="34" t="str">
        <x:v>FR-012 AC-5; C2; detailed record: R05-site-operation-acceptance-scenarios.md line 115; execution evidence remains separate</x:v>
      </x:c>
      <x:c r="T201" s="35" t="str">
        <x:v>R05-site-operation-acceptance-scenarios.md:115</x:v>
      </x:c>
    </x:row>
    <x:row r="202" ht="48" customHeight="1">
      <x:c r="A202" s="44" t="str">
        <x:v>R05-66</x:v>
      </x:c>
      <x:c r="B202" s="45" t="str">
        <x:v>R05</x:v>
      </x:c>
      <x:c r="C202" s="34" t="str">
        <x:v>requirement-documents/05-test-cases/01-site-operations/tc-122-compensation-decision-requires-controlled-reason-code.md</x:v>
      </x:c>
      <x:c r="D202" s="49" t="str">
        <x:v>2bae6e7c812632d6eae6b362a934ebebc109d2284eb4707ff6fa7859a5249856</x:v>
      </x:c>
      <x:c r="E202" s="40" t="n">
        <x:v>1170</x:v>
      </x:c>
      <x:c r="F202" s="34" t="str">
        <x:v>tracked-clean</x:v>
      </x:c>
      <x:c r="G202" s="34" t="str">
        <x:v>tracked-clean</x:v>
      </x:c>
      <x:c r="H202" s="34" t="str">
        <x:v>candidate-acceptance</x:v>
      </x:c>
      <x:c r="I202" s="34" t="str">
        <x:v>R05-C2</x:v>
      </x:c>
      <x:c r="J202" s="34" t="str">
        <x:v>unapproved-acceptance-draft-mixing-FR-AC-with-internal-design</x:v>
      </x:c>
      <x:c r="K202" s="34" t="str">
        <x:v>受控补偿原因码; C2; not executed</x:v>
      </x:c>
      <x:c r="L202" s="34" t="str">
        <x:v>`2bae6e7c8126` / H2; derived object: FR-002 AC-4.7</x:v>
      </x:c>
      <x:c r="M202" s="52" t="str">
        <x:v>not-found</x:v>
      </x:c>
      <x:c r="N202" s="52" t="str">
        <x:v>not-found</x:v>
      </x:c>
      <x:c r="O202" s="52" t="str">
        <x:v>not-found</x:v>
      </x:c>
      <x:c r="P202" s="52" t="str">
        <x:v>not-found</x:v>
      </x:c>
      <x:c r="Q202" s="55" t="str">
        <x:v>not-approved-by-this-classification</x:v>
      </x:c>
      <x:c r="R202" s="34" t="str">
        <x:v>split-business-acceptance-from-design-interface-and-safety-claims-before-explicit-approval</x:v>
      </x:c>
      <x:c r="S202" s="34" t="str">
        <x:v>FR-002 AC-4.7; C2; detailed record: R05-site-operation-acceptance-scenarios.md line 116; execution evidence remains separate</x:v>
      </x:c>
      <x:c r="T202" s="35" t="str">
        <x:v>R05-site-operation-acceptance-scenarios.md:116</x:v>
      </x:c>
    </x:row>
    <x:row r="203" ht="48" customHeight="1">
      <x:c r="A203" s="46" t="str">
        <x:v>R05-67</x:v>
      </x:c>
      <x:c r="B203" s="47" t="str">
        <x:v>R05</x:v>
      </x:c>
      <x:c r="C203" s="37" t="str">
        <x:v>requirement-documents/05-test-cases/01-site-operations/tc-123-load-compensation-cancels-transport-demand.md</x:v>
      </x:c>
      <x:c r="D203" s="50" t="str">
        <x:v>2e2c5743bccb54fabe9bd7b516a7132cf6e093f69d0b0b754f2674a418fb7c4b</x:v>
      </x:c>
      <x:c r="E203" s="41" t="n">
        <x:v>1911</x:v>
      </x:c>
      <x:c r="F203" s="37" t="str">
        <x:v>tracked-clean</x:v>
      </x:c>
      <x:c r="G203" s="37" t="str">
        <x:v>tracked-clean</x:v>
      </x:c>
      <x:c r="H203" s="37" t="str">
        <x:v>candidate-acceptance</x:v>
      </x:c>
      <x:c r="I203" s="37" t="str">
        <x:v>R05-C2</x:v>
      </x:c>
      <x:c r="J203" s="37" t="str">
        <x:v>unapproved-acceptance-draft-mixing-FR-AC-with-internal-design</x:v>
      </x:c>
      <x:c r="K203" s="37" t="str">
        <x:v>补偿清空后取消并抑制搬运需求; C2; not executed</x:v>
      </x:c>
      <x:c r="L203" s="37" t="str">
        <x:v>`2e2c5743bccb` / H2; derived object: FR-002 AC-4.8</x:v>
      </x:c>
      <x:c r="M203" s="53" t="str">
        <x:v>not-found</x:v>
      </x:c>
      <x:c r="N203" s="53" t="str">
        <x:v>not-found</x:v>
      </x:c>
      <x:c r="O203" s="53" t="str">
        <x:v>not-found</x:v>
      </x:c>
      <x:c r="P203" s="53" t="str">
        <x:v>not-found</x:v>
      </x:c>
      <x:c r="Q203" s="56" t="str">
        <x:v>not-approved-by-this-classification</x:v>
      </x:c>
      <x:c r="R203" s="37" t="str">
        <x:v>split-business-acceptance-from-design-interface-and-safety-claims-before-explicit-approval</x:v>
      </x:c>
      <x:c r="S203" s="37" t="str">
        <x:v>FR-002 AC-4.8; C2; detailed record: R05-site-operation-acceptance-scenarios.md line 117; execution evidence remains separate</x:v>
      </x:c>
      <x:c r="T203" s="38" t="str">
        <x:v>R05-site-operation-acceptance-scenarios.md:117</x:v>
      </x:c>
    </x:row>
  </x:sheetData>
  <x:pageMargins left="0.7" right="0.7" top="0.75" bottom="0.75" header="0.3" footer="0.3"/>
  <x:tableParts count="1">
    <x:tablePart xmlns:r="http://schemas.openxmlformats.org/officeDocument/2006/relationships" r:id="R6afa6e0a44fa4acd"/>
  </x:tableParts>
</x:worksheet>
</file>